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cgl-my.sharepoint.com/personal/keigo1_imada_carrier_com/Documents/#Local/SWRTカイゼン/"/>
    </mc:Choice>
  </mc:AlternateContent>
  <xr:revisionPtr revIDLastSave="1119" documentId="8_{6475BFFE-015A-487E-82CE-43DCD9C0E901}" xr6:coauthVersionLast="47" xr6:coauthVersionMax="47" xr10:uidLastSave="{943FDEA6-CD47-432F-805B-40FA79D7C6CA}"/>
  <bookViews>
    <workbookView xWindow="3600" yWindow="1320" windowWidth="25005" windowHeight="13650" activeTab="2" xr2:uid="{FB0275EE-5721-46F7-9A7A-4446B5B9B3F6}"/>
  </bookViews>
  <sheets>
    <sheet name="説明書" sheetId="7" r:id="rId1"/>
    <sheet name="表記フォーマット" sheetId="2" r:id="rId2"/>
    <sheet name="コード出力" sheetId="9" r:id="rId3"/>
    <sheet name="swrt_0" sheetId="4" r:id="rId4"/>
    <sheet name="swrt_1" sheetId="3" r:id="rId5"/>
    <sheet name="swrt_2" sheetId="5" r:id="rId6"/>
    <sheet name="swrt_3" sheetId="6" r:id="rId7"/>
  </sheets>
  <definedNames>
    <definedName name="Cell_Length" comment="現在行の「Length」列のセルを参照する用">INDIRECT("D"&amp;ROW())</definedName>
    <definedName name="Cell_note" comment="現在行の「note」列のセルを参照する用">INDIRECT("H"&amp;ROW())</definedName>
    <definedName name="Cell_Symbol" comment="現在行の「Symbol」列のセルを参照する用">INDIRECT("B"&amp;ROW())</definedName>
    <definedName name="Cell_Type" comment="現在行の「Type」列のセルを参照する用">INDIRECT("C"&amp;ROW())</definedName>
    <definedName name="CRLF">CHAR(13)&amp;CHAR(10)</definedName>
    <definedName name="F_address" comment="「address」列用の計算式">DEC2HEX(ページ番号,1)&amp;DEC2HEX(F_offset,2)</definedName>
    <definedName name="F_bytes" comment="「bytes」列用の計算式">INDIRECT("C"&amp;ROW())*INDIRECT("D"&amp;ROW())</definedName>
    <definedName name="F_code" comment="「code」列用の計算式。表記フォーマット定義からコードを取得する関数">VLOOKUP(INDIRECT("G"&amp;ROW()),表記フォーマットのセル範囲,2,FALSE)</definedName>
    <definedName name="F_offset" comment="「offset」列用の計算式">N(INDIRECT("L"&amp;ROW()-1))+N(INDIRECT("K"&amp;ROW()-1))</definedName>
    <definedName name="F_size" comment="「size」列用の計算式">F_bytes*2</definedName>
    <definedName name="F_残" comment="「残」列用の計算式">248-SUM(INDIRECT("K2:K"&amp;ROW()))</definedName>
    <definedName name="isCloseRow" comment="データ定義を閉じる行かを判定">AND(isEmptyRow,OR(ISBLANK(INDIRECT("B"&amp;ROW()-1)),ISBLANK(INDIRECT("C"&amp;ROW()-1)),ISBLANK(INDIRECT("D"&amp;ROW()-1))),NOT(OR(ISBLANK(INDIRECT("B"&amp;ROW()-2)),ISBLANK(INDIRECT("C"&amp;ROW()-2)),ISBLANK(INDIRECT("D"&amp;ROW()-2)))))</definedName>
    <definedName name="isDataRow" comment="データ定義行かを判定する">NOT(isEmptyRow)</definedName>
    <definedName name="isEmptyRow" comment="データ定義が無い行かを判定">OR(ISBLANK(Cell_Symbol),ISBLANK(Cell_Type),ISBLANK(Cell_Length))</definedName>
    <definedName name="isTermRow" comment="データ定義の番兵を置く行かを判定する">AND(isEmptyRow,NOT(OR(ISBLANK(INDIRECT("B"&amp;ROW()-1)),ISBLANK(INDIRECT("C"&amp;ROW()-1)),ISBLANK(INDIRECT("D"&amp;ROW()-1)))))</definedName>
    <definedName name="TAB">CHAR(9)</definedName>
    <definedName name="アライメント" comment="データテーブルの桁位置揃え用">ROUNDUP(MAX(最大文字列長+12,基準桁位置)/4,0)*4</definedName>
    <definedName name="シート名" comment="シート名を参照する用">_xlfn.TEXTAFTER(CELL("filename",INDIRECT("A1")),"]")</definedName>
    <definedName name="タブ個数" comment="テータターブルの桁位置揃え用のタブ個数">ROUNDUP((アライメント-(12+LEN(Cell_Symbol)))/4,0)</definedName>
    <definedName name="テーブル定義コード_データ行" comment="テーブル定義(ソースコード)のデータ行">TAB&amp;"{(UC*)&amp;"&amp;Cell_Symbol&amp;","&amp;REPT(TAB,タブ個数)&amp;Cell_Type&amp;"*"&amp;Cell_Length&amp;"},"&amp;TAB&amp;"// "&amp;REPT(" ",3-LEN(F_offset))&amp;F_offset&amp;TAB&amp;F_address&amp;"h"&amp;TAB&amp;Cell_note</definedName>
    <definedName name="テーブル定義コード_最終行" comment="テーブル定義(ソースコード)の最終行">"};"&amp;CRLF</definedName>
    <definedName name="テーブル定義コード_先頭行" comment="テーブル定義(ソースコード)の先頭行">CRLF&amp;"// SWRTコマンド"&amp;ページ番号&amp;"のデータ"&amp;CRLF&amp;"const struct swrt_address_tag"&amp;TAB&amp;シート名&amp;"[] = {"</definedName>
    <definedName name="テーブル定義コード_全体">_xlfn.TEXTJOIN(CRLF,TRUE,INDIRECT("P1:P127"))</definedName>
    <definedName name="テーブル定義コード_番兵行" comment="テーブル定義(ソースコード)の番兵行">TAB&amp;"{0,0}"</definedName>
    <definedName name="ページ番号" comment="ページ番号(シート名から取得)">RIGHT(シート名,LEN(シート名)-5)</definedName>
    <definedName name="基準桁位置" comment="データテーブルの桁位置揃えのデフォルト値">56</definedName>
    <definedName name="最大文字列長">MAX(LEN(INDIRECT("B2:B127")))</definedName>
    <definedName name="表記フォーマットのセル範囲" comment="表記フォーマットを定義したセル範囲">表記フォーマット!$A$2:$E$126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9" l="1" a="1"/>
  <c r="B16" i="9" a="1"/>
  <c r="B15" i="9" a="1"/>
  <c r="B13" i="9" a="1"/>
  <c r="B10" i="9" a="1"/>
  <c r="B19" i="9" a="1"/>
  <c r="B14" i="9" a="1"/>
  <c r="B12" i="9" a="1"/>
  <c r="B9" i="9" a="1"/>
  <c r="B17" i="9" a="1"/>
  <c r="B11" i="9" a="1"/>
  <c r="P1" i="6" a="1"/>
  <c r="P95" i="6" a="1"/>
  <c r="P82" i="3" a="1"/>
  <c r="J122" i="5" a="1"/>
  <c r="M66" i="3" a="1"/>
  <c r="L48" i="5" a="1"/>
  <c r="P38" i="3" a="1"/>
  <c r="I101" i="5" a="1"/>
  <c r="K115" i="5" a="1"/>
  <c r="J30" i="3" a="1"/>
  <c r="M101" i="5" a="1"/>
  <c r="J27" i="3" a="1"/>
  <c r="K38" i="4" a="1"/>
  <c r="M107" i="6" a="1"/>
  <c r="M127" i="3" a="1"/>
  <c r="P68" i="5" a="1"/>
  <c r="K126" i="3" a="1"/>
  <c r="M119" i="5" a="1"/>
  <c r="M75" i="6" a="1"/>
  <c r="L80" i="4" a="1"/>
  <c r="J5" i="6" a="1"/>
  <c r="P69" i="3" a="1"/>
  <c r="J41" i="5" a="1"/>
  <c r="J35" i="6" a="1"/>
  <c r="L35" i="6" a="1"/>
  <c r="K110" i="3" a="1"/>
  <c r="J51" i="5" a="1"/>
  <c r="I112" i="3" a="1"/>
  <c r="P96" i="4" a="1"/>
  <c r="M74" i="3" a="1"/>
  <c r="M70" i="5" a="1"/>
  <c r="J120" i="3" a="1"/>
  <c r="K68" i="4" a="1"/>
  <c r="J33" i="5" a="1"/>
  <c r="I123" i="3" a="1"/>
  <c r="I15" i="5" a="1"/>
  <c r="J13" i="6" a="1"/>
  <c r="J116" i="4" a="1"/>
  <c r="P85" i="6" a="1"/>
  <c r="I54" i="3" a="1"/>
  <c r="P45" i="6" a="1"/>
  <c r="M94" i="4" a="1"/>
  <c r="I120" i="6" a="1"/>
  <c r="J78" i="3" a="1"/>
  <c r="J86" i="5" a="1"/>
  <c r="K80" i="3" a="1"/>
  <c r="P84" i="4" a="1"/>
  <c r="J19" i="6" a="1"/>
  <c r="L34" i="3" a="1"/>
  <c r="M41" i="4" a="1"/>
  <c r="K96" i="6" a="1"/>
  <c r="K97" i="4" a="1"/>
  <c r="M69" i="6" a="1"/>
  <c r="P73" i="3" a="1"/>
  <c r="K94" i="6" a="1"/>
  <c r="M82" i="3" a="1"/>
  <c r="M64" i="6" a="1"/>
  <c r="K52" i="6" a="1"/>
  <c r="P64" i="5" a="1"/>
  <c r="P1" i="5" a="1"/>
  <c r="K80" i="6" a="1"/>
  <c r="P31" i="3" a="1"/>
  <c r="L127" i="5" a="1"/>
  <c r="K61" i="3" a="1"/>
  <c r="K48" i="5" a="1"/>
  <c r="M24" i="3" a="1"/>
  <c r="J116" i="5" a="1"/>
  <c r="I109" i="5" a="1"/>
  <c r="L75" i="3" a="1"/>
  <c r="L61" i="5" a="1"/>
  <c r="K115" i="4" a="1"/>
  <c r="I55" i="4" a="1"/>
  <c r="L67" i="6" a="1"/>
  <c r="K25" i="3" a="1"/>
  <c r="M65" i="5" a="1"/>
  <c r="K66" i="3" a="1"/>
  <c r="I61" i="5" a="1"/>
  <c r="J63" i="6" a="1"/>
  <c r="K80" i="4" a="1"/>
  <c r="K89" i="6" a="1"/>
  <c r="K70" i="3" a="1"/>
  <c r="I41" i="5" a="1"/>
  <c r="P68" i="6" a="1"/>
  <c r="I23" i="6" a="1"/>
  <c r="K116" i="3" a="1"/>
  <c r="J48" i="4" a="1"/>
  <c r="I74" i="3" a="1"/>
  <c r="I109" i="4" a="1"/>
  <c r="L42" i="3" a="1"/>
  <c r="K67" i="5" a="1"/>
  <c r="K23" i="6" a="1"/>
  <c r="I22" i="4" a="1"/>
  <c r="K85" i="5" a="1"/>
  <c r="I20" i="3" a="1"/>
  <c r="K76" i="5" a="1"/>
  <c r="K65" i="6" a="1"/>
  <c r="P112" i="4" a="1"/>
  <c r="L79" i="6" a="1"/>
  <c r="M118" i="6" a="1"/>
  <c r="P46" i="6" a="1"/>
  <c r="K91" i="4" a="1"/>
  <c r="P119" i="6" a="1"/>
  <c r="I102" i="3" a="1"/>
  <c r="P109" i="5" a="1"/>
  <c r="K69" i="3" a="1"/>
  <c r="I57" i="4" a="1"/>
  <c r="P52" i="6" a="1"/>
  <c r="J80" i="3" a="1"/>
  <c r="K54" i="4" a="1"/>
  <c r="L108" i="6" a="1"/>
  <c r="K125" i="4" a="1"/>
  <c r="P107" i="6" a="1"/>
  <c r="J95" i="3" a="1"/>
  <c r="K66" i="5" a="1"/>
  <c r="L72" i="3" a="1"/>
  <c r="L64" i="6" a="1"/>
  <c r="P47" i="6" a="1"/>
  <c r="P64" i="4" a="1"/>
  <c r="J80" i="6" a="1"/>
  <c r="P1" i="4" a="1"/>
  <c r="K46" i="6" a="1"/>
  <c r="M29" i="3" a="1"/>
  <c r="I115" i="5" a="1"/>
  <c r="J107" i="3" a="1"/>
  <c r="J123" i="5" a="1"/>
  <c r="K38" i="3" a="1"/>
  <c r="L60" i="5" a="1"/>
  <c r="L93" i="5" a="1"/>
  <c r="M118" i="3" a="1"/>
  <c r="L110" i="5" a="1"/>
  <c r="L66" i="3" a="1"/>
  <c r="J87" i="4" a="1"/>
  <c r="L76" i="6" a="1"/>
  <c r="K90" i="3" a="1"/>
  <c r="J53" i="5" a="1"/>
  <c r="J63" i="3" a="1"/>
  <c r="J76" i="5" a="1"/>
  <c r="M47" i="6" a="1"/>
  <c r="I74" i="4" a="1"/>
  <c r="I83" i="6" a="1"/>
  <c r="K91" i="3" a="1"/>
  <c r="I9" i="5" a="1"/>
  <c r="J87" i="6" a="1"/>
  <c r="I29" i="6" a="1"/>
  <c r="J47" i="3" a="1"/>
  <c r="I103" i="4" a="1"/>
  <c r="L81" i="3" a="1"/>
  <c r="J81" i="4" a="1"/>
  <c r="P62" i="4" a="1"/>
  <c r="P97" i="5" a="1"/>
  <c r="K51" i="4" a="1"/>
  <c r="P1" i="3" a="1"/>
  <c r="J6" i="6" a="1"/>
  <c r="K100" i="3" a="1"/>
  <c r="P114" i="5" a="1"/>
  <c r="J56" i="3" a="1"/>
  <c r="I83" i="5" a="1"/>
  <c r="K29" i="3" a="1"/>
  <c r="M78" i="4" a="1"/>
  <c r="K93" i="5" a="1"/>
  <c r="K30" i="3" a="1"/>
  <c r="M85" i="5" a="1"/>
  <c r="M52" i="4" a="1"/>
  <c r="K59" i="4" a="1"/>
  <c r="P100" i="6" a="1"/>
  <c r="L20" i="3" a="1"/>
  <c r="J5" i="5" a="1"/>
  <c r="K84" i="3" a="1"/>
  <c r="J91" i="5" a="1"/>
  <c r="M53" i="6" a="1"/>
  <c r="I40" i="4" a="1"/>
  <c r="P42" i="6" a="1"/>
  <c r="J21" i="3" a="1"/>
  <c r="J105" i="5" a="1"/>
  <c r="M71" i="6" a="1"/>
  <c r="M59" i="6" a="1"/>
  <c r="K95" i="3" a="1"/>
  <c r="J115" i="4" a="1"/>
  <c r="K55" i="3" a="1"/>
  <c r="J18" i="4" a="1"/>
  <c r="P75" i="4" a="1"/>
  <c r="P106" i="5" a="1"/>
  <c r="L103" i="6" a="1"/>
  <c r="M54" i="4" a="1"/>
  <c r="L102" i="5" a="1"/>
  <c r="I92" i="3" a="1"/>
  <c r="J54" i="5" a="1"/>
  <c r="K77" i="6" a="1"/>
  <c r="P90" i="3" a="1"/>
  <c r="L97" i="6" a="1"/>
  <c r="P99" i="6" a="1"/>
  <c r="P58" i="6" a="1"/>
  <c r="P125" i="3" a="1"/>
  <c r="I61" i="6" a="1"/>
  <c r="I78" i="3" a="1"/>
  <c r="J30" i="5" a="1"/>
  <c r="K82" i="3" a="1"/>
  <c r="J35" i="4" a="1"/>
  <c r="K126" i="6" a="1"/>
  <c r="I98" i="3" a="1"/>
  <c r="K90" i="4" a="1"/>
  <c r="L37" i="6" a="1"/>
  <c r="P98" i="3" a="1"/>
  <c r="P79" i="6" a="1"/>
  <c r="L127" i="3" a="1"/>
  <c r="M50" i="5" a="1"/>
  <c r="L26" i="3" a="1"/>
  <c r="I104" i="6" a="1"/>
  <c r="I26" i="6" a="1"/>
  <c r="I126" i="4" a="1"/>
  <c r="J52" i="6" a="1"/>
  <c r="K27" i="6" a="1"/>
  <c r="M109" i="4" a="1"/>
  <c r="J15" i="5" a="1"/>
  <c r="M97" i="3" a="1"/>
  <c r="M111" i="5" a="1"/>
  <c r="I91" i="4" a="1"/>
  <c r="K98" i="6" a="1"/>
  <c r="I10" i="4" a="1"/>
  <c r="I34" i="3" a="1"/>
  <c r="M88" i="6" a="1"/>
  <c r="L105" i="4" a="1"/>
  <c r="K56" i="6" a="1"/>
  <c r="M88" i="4" a="1"/>
  <c r="J34" i="5" a="1"/>
  <c r="I37" i="4" a="1"/>
  <c r="K49" i="4" a="1"/>
  <c r="M39" i="4" a="1"/>
  <c r="K31" i="3" a="1"/>
  <c r="I14" i="6" a="1"/>
  <c r="M113" i="6" a="1"/>
  <c r="J62" i="3" a="1"/>
  <c r="K99" i="5" a="1"/>
  <c r="K121" i="3" a="1"/>
  <c r="L66" i="5" a="1"/>
  <c r="J28" i="3" a="1"/>
  <c r="K72" i="4" a="1"/>
  <c r="P80" i="5" a="1"/>
  <c r="L99" i="3" a="1"/>
  <c r="P103" i="5" a="1"/>
  <c r="J124" i="3" a="1"/>
  <c r="K61" i="4" a="1"/>
  <c r="P109" i="6" a="1"/>
  <c r="K23" i="3" a="1"/>
  <c r="I105" i="5" a="1"/>
  <c r="M113" i="4" a="1"/>
  <c r="M38" i="4" a="1"/>
  <c r="K87" i="6" a="1"/>
  <c r="P121" i="4" a="1"/>
  <c r="P51" i="6" a="1"/>
  <c r="I61" i="3" a="1"/>
  <c r="K77" i="5" a="1"/>
  <c r="M117" i="6" a="1"/>
  <c r="I81" i="6" a="1"/>
  <c r="J122" i="3" a="1"/>
  <c r="K87" i="4" a="1"/>
  <c r="J16" i="3" a="1"/>
  <c r="M114" i="4" a="1"/>
  <c r="M69" i="4" a="1"/>
  <c r="P38" i="5" a="1"/>
  <c r="I27" i="6" a="1"/>
  <c r="P116" i="4" a="1"/>
  <c r="J96" i="5" a="1"/>
  <c r="I52" i="3" a="1"/>
  <c r="J103" i="4" a="1"/>
  <c r="P64" i="6" a="1"/>
  <c r="P17" i="3" a="1"/>
  <c r="L45" i="5" a="1"/>
  <c r="M96" i="6" a="1"/>
  <c r="J37" i="6" a="1"/>
  <c r="J44" i="3" a="1"/>
  <c r="I70" i="6" a="1"/>
  <c r="I47" i="3" a="1"/>
  <c r="J85" i="5" a="1"/>
  <c r="K118" i="3" a="1"/>
  <c r="M102" i="4" a="1"/>
  <c r="L98" i="6" a="1"/>
  <c r="K67" i="3" a="1"/>
  <c r="J50" i="4" a="1"/>
  <c r="P29" i="6" a="1"/>
  <c r="P34" i="3" a="1"/>
  <c r="I95" i="6" a="1"/>
  <c r="K58" i="3" a="1"/>
  <c r="K44" i="5" a="1"/>
  <c r="L46" i="3" a="1"/>
  <c r="I113" i="6" a="1"/>
  <c r="P71" i="6" a="1"/>
  <c r="L113" i="4" a="1"/>
  <c r="K67" i="6" a="1"/>
  <c r="I12" i="6" a="1"/>
  <c r="M110" i="4" a="1"/>
  <c r="P116" i="5" a="1"/>
  <c r="I75" i="3" a="1"/>
  <c r="M109" i="3" a="1"/>
  <c r="K116" i="6" a="1"/>
  <c r="L21" i="3" a="1"/>
  <c r="J88" i="6" a="1"/>
  <c r="M68" i="6" a="1"/>
  <c r="I104" i="4" a="1"/>
  <c r="L56" i="6" a="1"/>
  <c r="J101" i="4" a="1"/>
  <c r="J55" i="5" a="1"/>
  <c r="J60" i="5" a="1"/>
  <c r="P83" i="6" a="1"/>
  <c r="M97" i="4" a="1"/>
  <c r="M97" i="6" a="1"/>
  <c r="L46" i="5" a="1"/>
  <c r="J61" i="6" a="1"/>
  <c r="P120" i="4" a="1"/>
  <c r="J4" i="4" a="1"/>
  <c r="M92" i="6" a="1"/>
  <c r="L101" i="5" a="1"/>
  <c r="M66" i="6" a="1"/>
  <c r="P33" i="6" a="1"/>
  <c r="M2" i="5" a="1"/>
  <c r="L121" i="6" a="1"/>
  <c r="M122" i="6" a="1"/>
  <c r="J51" i="3" a="1"/>
  <c r="J62" i="5" a="1"/>
  <c r="K26" i="3" a="1"/>
  <c r="J107" i="5" a="1"/>
  <c r="M62" i="3" a="1"/>
  <c r="P59" i="4" a="1"/>
  <c r="M40" i="5" a="1"/>
  <c r="M120" i="3" a="1"/>
  <c r="P118" i="5" a="1"/>
  <c r="K103" i="6" a="1"/>
  <c r="J108" i="4" a="1"/>
  <c r="M115" i="5" a="1"/>
  <c r="K105" i="3" a="1"/>
  <c r="I111" i="5" a="1"/>
  <c r="L54" i="4" a="1"/>
  <c r="J26" i="4" a="1"/>
  <c r="M105" i="6" a="1"/>
  <c r="M82" i="4" a="1"/>
  <c r="J73" i="6" a="1"/>
  <c r="J60" i="3" a="1"/>
  <c r="K83" i="5" a="1"/>
  <c r="M39" i="6" a="1"/>
  <c r="L65" i="6" a="1"/>
  <c r="M78" i="3" a="1"/>
  <c r="P39" i="4" a="1"/>
  <c r="L84" i="4" a="1"/>
  <c r="M80" i="4" a="1"/>
  <c r="M101" i="4" a="1"/>
  <c r="M121" i="4" a="1"/>
  <c r="I35" i="6" a="1"/>
  <c r="M73" i="4" a="1"/>
  <c r="I59" i="5" a="1"/>
  <c r="I87" i="3" a="1"/>
  <c r="J69" i="4" a="1"/>
  <c r="M21" i="6" a="1"/>
  <c r="I66" i="3" a="1"/>
  <c r="K112" i="5" a="1"/>
  <c r="I45" i="6" a="1"/>
  <c r="J126" i="6" a="1"/>
  <c r="K93" i="3" a="1"/>
  <c r="I79" i="6" a="1"/>
  <c r="I24" i="3" a="1"/>
  <c r="L23" i="3" a="1"/>
  <c r="L62" i="4" a="1"/>
  <c r="I114" i="6" a="1"/>
  <c r="K50" i="5" a="1"/>
  <c r="I33" i="5" a="1"/>
  <c r="J20" i="6" a="1"/>
  <c r="K96" i="3" a="1"/>
  <c r="J75" i="3" a="1"/>
  <c r="M107" i="5" a="1"/>
  <c r="M103" i="4" a="1"/>
  <c r="L89" i="4" a="1"/>
  <c r="M70" i="6" a="1"/>
  <c r="I24" i="5" a="1"/>
  <c r="P26" i="3" a="1"/>
  <c r="L127" i="6" a="1"/>
  <c r="P57" i="6" a="1"/>
  <c r="M46" i="3" a="1"/>
  <c r="K64" i="5" a="1"/>
  <c r="P84" i="3" a="1"/>
  <c r="K122" i="5" a="1"/>
  <c r="J39" i="3" a="1"/>
  <c r="K44" i="4" a="1"/>
  <c r="K100" i="5" a="1"/>
  <c r="M57" i="3" a="1"/>
  <c r="K66" i="4" a="1"/>
  <c r="P90" i="6" a="1"/>
  <c r="I108" i="4" a="1"/>
  <c r="M81" i="5" a="1"/>
  <c r="L89" i="3" a="1"/>
  <c r="J83" i="5" a="1"/>
  <c r="M68" i="3" a="1"/>
  <c r="J55" i="4" a="1"/>
  <c r="J93" i="6" a="1"/>
  <c r="M91" i="4" a="1"/>
  <c r="J82" i="6" a="1"/>
  <c r="L44" i="3" a="1"/>
  <c r="L55" i="5" a="1"/>
  <c r="P121" i="6" a="1"/>
  <c r="L111" i="6" a="1"/>
  <c r="M40" i="3" a="1"/>
  <c r="P123" i="4" a="1"/>
  <c r="M35" i="6" a="1"/>
  <c r="L40" i="4" a="1"/>
  <c r="I83" i="4" a="1"/>
  <c r="M87" i="4" a="1"/>
  <c r="K53" i="6" a="1"/>
  <c r="M106" i="4" a="1"/>
  <c r="I25" i="5" a="1"/>
  <c r="J52" i="3" a="1"/>
  <c r="K81" i="4" a="1"/>
  <c r="J24" i="6" a="1"/>
  <c r="M71" i="3" a="1"/>
  <c r="K118" i="5" a="1"/>
  <c r="J7" i="6" a="1"/>
  <c r="I126" i="6" a="1"/>
  <c r="J49" i="3" a="1"/>
  <c r="L112" i="5" a="1"/>
  <c r="M104" i="3" a="1"/>
  <c r="J63" i="4" a="1"/>
  <c r="I82" i="3" a="1"/>
  <c r="P43" i="4" a="1"/>
  <c r="L113" i="6" a="1"/>
  <c r="I25" i="4" a="1"/>
  <c r="I99" i="4" a="1"/>
  <c r="J86" i="6" a="1"/>
  <c r="M28" i="3" a="1"/>
  <c r="K125" i="6" a="1"/>
  <c r="I21" i="3" a="1"/>
  <c r="J19" i="5" a="1"/>
  <c r="K92" i="3" a="1"/>
  <c r="J40" i="5" a="1"/>
  <c r="K26" i="6" a="1"/>
  <c r="I7" i="6" a="1"/>
  <c r="J48" i="3" a="1"/>
  <c r="P122" i="5" a="1"/>
  <c r="I127" i="5" a="1"/>
  <c r="K52" i="3" a="1"/>
  <c r="J70" i="4" a="1"/>
  <c r="I39" i="6" a="1"/>
  <c r="P66" i="6" a="1"/>
  <c r="K111" i="3" a="1"/>
  <c r="I73" i="5" a="1"/>
  <c r="K49" i="3" a="1"/>
  <c r="M66" i="5" a="1"/>
  <c r="J119" i="3" a="1"/>
  <c r="M105" i="4" a="1"/>
  <c r="J8" i="5" a="1"/>
  <c r="M49" i="3" a="1"/>
  <c r="I60" i="4" a="1"/>
  <c r="K75" i="6" a="1"/>
  <c r="M98" i="4" a="1"/>
  <c r="P96" i="5" a="1"/>
  <c r="K112" i="3" a="1"/>
  <c r="I43" i="5" a="1"/>
  <c r="P55" i="4" a="1"/>
  <c r="K127" i="4" a="1"/>
  <c r="K39" i="6" a="1"/>
  <c r="I76" i="4" a="1"/>
  <c r="I91" i="5" a="1"/>
  <c r="I69" i="3" a="1"/>
  <c r="L104" i="5" a="1"/>
  <c r="J117" i="6" a="1"/>
  <c r="L57" i="6" a="1"/>
  <c r="L71" i="4" a="1"/>
  <c r="P89" i="4" a="1"/>
  <c r="J23" i="6" a="1"/>
  <c r="K40" i="4" a="1"/>
  <c r="L110" i="4" a="1"/>
  <c r="P102" i="4" a="1"/>
  <c r="P40" i="6" a="1"/>
  <c r="I27" i="4" a="1"/>
  <c r="I31" i="5" a="1"/>
  <c r="L103" i="3" a="1"/>
  <c r="L53" i="4" a="1"/>
  <c r="I92" i="6" a="1"/>
  <c r="J42" i="3" a="1"/>
  <c r="I112" i="5" a="1"/>
  <c r="I9" i="6" a="1"/>
  <c r="L70" i="6" a="1"/>
  <c r="L116" i="3" a="1"/>
  <c r="P93" i="5" a="1"/>
  <c r="K63" i="3" a="1"/>
  <c r="I23" i="4" a="1"/>
  <c r="M76" i="5" a="1"/>
  <c r="K111" i="4" a="1"/>
  <c r="J27" i="6" a="1"/>
  <c r="K33" i="3" a="1"/>
  <c r="M89" i="4" a="1"/>
  <c r="I86" i="6" a="1"/>
  <c r="M37" i="3" a="1"/>
  <c r="L100" i="6" a="1"/>
  <c r="J76" i="3" a="1"/>
  <c r="M120" i="5" a="1"/>
  <c r="J59" i="3" a="1"/>
  <c r="L38" i="5" a="1"/>
  <c r="K97" i="6" a="1"/>
  <c r="J51" i="4" a="1"/>
  <c r="P75" i="6" a="1"/>
  <c r="L68" i="6" a="1"/>
  <c r="K85" i="4" a="1"/>
  <c r="K79" i="5" a="1"/>
  <c r="M127" i="6" a="1"/>
  <c r="I77" i="3" a="1"/>
  <c r="L120" i="6" a="1"/>
  <c r="M118" i="4" a="1"/>
  <c r="L118" i="5" a="1"/>
  <c r="M105" i="3" a="1"/>
  <c r="L87" i="3" a="1"/>
  <c r="P82" i="5" a="1"/>
  <c r="M85" i="4" a="1"/>
  <c r="P73" i="6" a="1"/>
  <c r="P93" i="6" a="1"/>
  <c r="J58" i="6" a="1"/>
  <c r="J31" i="6" a="1"/>
  <c r="I80" i="6" a="1"/>
  <c r="K122" i="3" a="1"/>
  <c r="I38" i="6" a="1"/>
  <c r="I42" i="6" a="1"/>
  <c r="M41" i="3" a="1"/>
  <c r="L106" i="5" a="1"/>
  <c r="M35" i="3" a="1"/>
  <c r="P87" i="4" a="1"/>
  <c r="J73" i="4" a="1"/>
  <c r="P80" i="4" a="1"/>
  <c r="P110" i="5" a="1"/>
  <c r="M92" i="3" a="1"/>
  <c r="L44" i="4" a="1"/>
  <c r="K81" i="6" a="1"/>
  <c r="M64" i="4" a="1"/>
  <c r="L87" i="5" a="1"/>
  <c r="I35" i="3" a="1"/>
  <c r="J58" i="5" a="1"/>
  <c r="K101" i="4" a="1"/>
  <c r="M65" i="4" a="1"/>
  <c r="J22" i="6" a="1"/>
  <c r="P64" i="3" a="1"/>
  <c r="I57" i="5" a="1"/>
  <c r="M52" i="3" a="1"/>
  <c r="J101" i="5" a="1"/>
  <c r="I77" i="6" a="1"/>
  <c r="L123" i="6" a="1"/>
  <c r="P44" i="6" a="1"/>
  <c r="M46" i="4" a="1"/>
  <c r="K64" i="6" a="1"/>
  <c r="I34" i="4" a="1"/>
  <c r="I101" i="4" a="1"/>
  <c r="I75" i="4" a="1"/>
  <c r="P86" i="6" a="1"/>
  <c r="L63" i="4" a="1"/>
  <c r="J14" i="5" a="1"/>
  <c r="K88" i="3" a="1"/>
  <c r="M108" i="4" a="1"/>
  <c r="M85" i="6" a="1"/>
  <c r="I60" i="3" a="1"/>
  <c r="I118" i="5" a="1"/>
  <c r="I53" i="6" a="1"/>
  <c r="J67" i="6" a="1"/>
  <c r="L65" i="3" a="1"/>
  <c r="P99" i="5" a="1"/>
  <c r="K117" i="3" a="1"/>
  <c r="K41" i="4" a="1"/>
  <c r="P113" i="4" a="1"/>
  <c r="I105" i="4" a="1"/>
  <c r="L48" i="6" a="1"/>
  <c r="M78" i="6" a="1"/>
  <c r="M95" i="4" a="1"/>
  <c r="J101" i="6" a="1"/>
  <c r="I62" i="3" a="1"/>
  <c r="L72" i="5" a="1"/>
  <c r="L122" i="3" a="1"/>
  <c r="L80" i="5" a="1"/>
  <c r="P111" i="3" a="1"/>
  <c r="L44" i="5" a="1"/>
  <c r="M36" i="6" a="1"/>
  <c r="P126" i="3" a="1"/>
  <c r="P47" i="5" a="1"/>
  <c r="L114" i="6" a="1"/>
  <c r="P107" i="3" a="1"/>
  <c r="L100" i="5" a="1"/>
  <c r="J94" i="6" a="1"/>
  <c r="P53" i="5" a="1"/>
  <c r="J50" i="3" a="1"/>
  <c r="P29" i="3" a="1"/>
  <c r="I20" i="5" a="1"/>
  <c r="L39" i="6" a="1"/>
  <c r="I24" i="4" a="1"/>
  <c r="K83" i="3" a="1"/>
  <c r="K120" i="5" a="1"/>
  <c r="M63" i="6" a="1"/>
  <c r="P54" i="4" a="1"/>
  <c r="K109" i="3" a="1"/>
  <c r="K84" i="4" a="1"/>
  <c r="J56" i="6" a="1"/>
  <c r="J40" i="3" a="1"/>
  <c r="L51" i="5" a="1"/>
  <c r="I38" i="4" a="1"/>
  <c r="P85" i="5" a="1"/>
  <c r="J113" i="5" a="1"/>
  <c r="L17" i="3" a="1"/>
  <c r="L36" i="3" a="1"/>
  <c r="J102" i="5" a="1"/>
  <c r="M58" i="6" a="1"/>
  <c r="P49" i="4" a="1"/>
  <c r="P37" i="6" a="1"/>
  <c r="I76" i="5" a="1"/>
  <c r="L28" i="3" a="1"/>
  <c r="J89" i="5" a="1"/>
  <c r="J103" i="3" a="1"/>
  <c r="L78" i="4" a="1"/>
  <c r="M91" i="3" a="1"/>
  <c r="P46" i="4" a="1"/>
  <c r="M67" i="5" a="1"/>
  <c r="L74" i="3" a="1"/>
  <c r="I32" i="4" a="1"/>
  <c r="I115" i="6" a="1"/>
  <c r="I46" i="4" a="1"/>
  <c r="I75" i="5" a="1"/>
  <c r="J96" i="3" a="1"/>
  <c r="J67" i="5" a="1"/>
  <c r="K48" i="4" a="1"/>
  <c r="P40" i="4" a="1"/>
  <c r="J28" i="6" a="1"/>
  <c r="P110" i="3" a="1"/>
  <c r="J69" i="5" a="1"/>
  <c r="I76" i="3" a="1"/>
  <c r="L39" i="5" a="1"/>
  <c r="M67" i="6" a="1"/>
  <c r="I111" i="6" a="1"/>
  <c r="K29" i="6" a="1"/>
  <c r="L46" i="4" a="1"/>
  <c r="I52" i="6" a="1"/>
  <c r="J54" i="4" a="1"/>
  <c r="P103" i="4" a="1"/>
  <c r="J11" i="4" a="1"/>
  <c r="L117" i="6" a="1"/>
  <c r="P115" i="3" a="1"/>
  <c r="K58" i="5" a="1"/>
  <c r="K99" i="3" a="1"/>
  <c r="I90" i="4" a="1"/>
  <c r="M94" i="6" a="1"/>
  <c r="K87" i="3" a="1"/>
  <c r="I84" i="5" a="1"/>
  <c r="M83" i="6" a="1"/>
  <c r="J76" i="6" a="1"/>
  <c r="K36" i="3" a="1"/>
  <c r="L90" i="5" a="1"/>
  <c r="L97" i="3" a="1"/>
  <c r="P111" i="4" a="1"/>
  <c r="I94" i="6" a="1"/>
  <c r="I111" i="4" a="1"/>
  <c r="I122" i="6" a="1"/>
  <c r="P53" i="6" a="1"/>
  <c r="M61" i="4" a="1"/>
  <c r="L122" i="6" a="1"/>
  <c r="J101" i="3" a="1"/>
  <c r="M52" i="5" a="1"/>
  <c r="J38" i="5" a="1"/>
  <c r="K120" i="6" a="1"/>
  <c r="P104" i="3" a="1"/>
  <c r="I100" i="5" a="1"/>
  <c r="L117" i="4" a="1"/>
  <c r="K78" i="5" a="1"/>
  <c r="M102" i="6" a="1"/>
  <c r="M78" i="5" a="1"/>
  <c r="L60" i="3" a="1"/>
  <c r="M116" i="3" a="1"/>
  <c r="I52" i="5" a="1"/>
  <c r="L98" i="3" a="1"/>
  <c r="J108" i="6" a="1"/>
  <c r="K84" i="5" a="1"/>
  <c r="J54" i="6" a="1"/>
  <c r="I49" i="5" a="1"/>
  <c r="K70" i="5" a="1"/>
  <c r="L90" i="4" a="1"/>
  <c r="J106" i="4" a="1"/>
  <c r="K43" i="5" a="1"/>
  <c r="J21" i="6" a="1"/>
  <c r="L32" i="6" a="1"/>
  <c r="L43" i="4" a="1"/>
  <c r="P103" i="3" a="1"/>
  <c r="I20" i="6" a="1"/>
  <c r="I50" i="6" a="1"/>
  <c r="M39" i="5" a="1"/>
  <c r="J23" i="3" a="1"/>
  <c r="P48" i="5" a="1"/>
  <c r="P61" i="4" a="1"/>
  <c r="I66" i="4" a="1"/>
  <c r="J7" i="4" a="1"/>
  <c r="M126" i="4" a="1"/>
  <c r="M116" i="5" a="1"/>
  <c r="L113" i="3" a="1"/>
  <c r="K93" i="4" a="1"/>
  <c r="M112" i="6" a="1"/>
  <c r="K110" i="4" a="1"/>
  <c r="P74" i="5" a="1"/>
  <c r="K114" i="3" a="1"/>
  <c r="K82" i="5" a="1"/>
  <c r="P101" i="3" a="1"/>
  <c r="L106" i="4" a="1"/>
  <c r="K43" i="6" a="1"/>
  <c r="P56" i="3" a="1"/>
  <c r="P62" i="5" a="1"/>
  <c r="L48" i="3" a="1"/>
  <c r="M54" i="5" a="1"/>
  <c r="L27" i="6" a="1"/>
  <c r="P70" i="6" a="1"/>
  <c r="I31" i="6" a="1"/>
  <c r="J40" i="4" a="1"/>
  <c r="K47" i="6" a="1"/>
  <c r="I89" i="4" a="1"/>
  <c r="L97" i="4" a="1"/>
  <c r="L108" i="4" a="1"/>
  <c r="P98" i="6" a="1"/>
  <c r="P37" i="3" a="1"/>
  <c r="I55" i="5" a="1"/>
  <c r="L126" i="3" a="1"/>
  <c r="I56" i="4" a="1"/>
  <c r="M103" i="6" a="1"/>
  <c r="J58" i="3" a="1"/>
  <c r="M74" i="5" a="1"/>
  <c r="I65" i="6" a="1"/>
  <c r="J85" i="6" a="1"/>
  <c r="J67" i="3" a="1"/>
  <c r="L96" i="5" a="1"/>
  <c r="L95" i="3" a="1"/>
  <c r="M68" i="4" a="1"/>
  <c r="J66" i="6" a="1"/>
  <c r="I77" i="4" a="1"/>
  <c r="I94" i="5" a="1"/>
  <c r="P59" i="6" a="1"/>
  <c r="I43" i="4" a="1"/>
  <c r="J36" i="6" a="1"/>
  <c r="M90" i="3" a="1"/>
  <c r="P59" i="5" a="1"/>
  <c r="L85" i="3" a="1"/>
  <c r="M58" i="5" a="1"/>
  <c r="K97" i="3" a="1"/>
  <c r="J44" i="5" a="1"/>
  <c r="K86" i="6" a="1"/>
  <c r="K73" i="3" a="1"/>
  <c r="J32" i="5" a="1"/>
  <c r="I108" i="6" a="1"/>
  <c r="P42" i="3" a="1"/>
  <c r="K112" i="4" a="1"/>
  <c r="J44" i="6" a="1"/>
  <c r="J28" i="4" a="1"/>
  <c r="L71" i="3" a="1"/>
  <c r="M76" i="3" a="1"/>
  <c r="I72" i="6" a="1"/>
  <c r="K34" i="3" a="1"/>
  <c r="I89" i="5" a="1"/>
  <c r="L114" i="5" a="1"/>
  <c r="K58" i="6" a="1"/>
  <c r="M38" i="3" a="1"/>
  <c r="I78" i="5" a="1"/>
  <c r="K78" i="3" a="1"/>
  <c r="K66" i="6" a="1"/>
  <c r="L126" i="6" a="1"/>
  <c r="M120" i="6" a="1"/>
  <c r="M100" i="5" a="1"/>
  <c r="M46" i="5" a="1"/>
  <c r="I28" i="4" a="1"/>
  <c r="I96" i="6" a="1"/>
  <c r="J36" i="5" a="1"/>
  <c r="L79" i="3" a="1"/>
  <c r="K113" i="5" a="1"/>
  <c r="L69" i="3" a="1"/>
  <c r="L50" i="4" a="1"/>
  <c r="P124" i="6" a="1"/>
  <c r="L126" i="4" a="1"/>
  <c r="P94" i="5" a="1"/>
  <c r="L127" i="4" a="1"/>
  <c r="L65" i="4" a="1"/>
  <c r="P120" i="6" a="1"/>
  <c r="K119" i="4" a="1"/>
  <c r="K59" i="5" a="1"/>
  <c r="M77" i="3" a="1"/>
  <c r="K97" i="5" a="1"/>
  <c r="P84" i="6" a="1"/>
  <c r="M86" i="4" a="1"/>
  <c r="L95" i="6" a="1"/>
  <c r="I95" i="3" a="1"/>
  <c r="K47" i="5" a="1"/>
  <c r="I68" i="3" a="1"/>
  <c r="M69" i="5" a="1"/>
  <c r="I18" i="6" a="1"/>
  <c r="L61" i="6" a="1"/>
  <c r="P22" i="6" a="1"/>
  <c r="I5" i="4" a="1"/>
  <c r="M65" i="6" a="1"/>
  <c r="M42" i="4" a="1"/>
  <c r="P106" i="3" a="1"/>
  <c r="L74" i="4" a="1"/>
  <c r="K83" i="6" a="1"/>
  <c r="P116" i="3" a="1"/>
  <c r="L82" i="5" a="1"/>
  <c r="M47" i="4" a="1"/>
  <c r="M2" i="4" a="1"/>
  <c r="J21" i="5" a="1"/>
  <c r="L118" i="3" a="1"/>
  <c r="J25" i="5" a="1"/>
  <c r="L49" i="6" a="1"/>
  <c r="M118" i="5" a="1"/>
  <c r="L61" i="3" a="1"/>
  <c r="L62" i="5" a="1"/>
  <c r="J37" i="4" a="1"/>
  <c r="I50" i="4" a="1"/>
  <c r="J72" i="6" a="1"/>
  <c r="K55" i="4" a="1"/>
  <c r="K72" i="5" a="1"/>
  <c r="M56" i="6" a="1"/>
  <c r="L70" i="4" a="1"/>
  <c r="M106" i="6" a="1"/>
  <c r="L53" i="3" a="1"/>
  <c r="L50" i="5" a="1"/>
  <c r="I96" i="3" a="1"/>
  <c r="J46" i="5" a="1"/>
  <c r="K120" i="3" a="1"/>
  <c r="J12" i="5" a="1"/>
  <c r="L58" i="6" a="1"/>
  <c r="K46" i="3" a="1"/>
  <c r="J4" i="5" a="1"/>
  <c r="I74" i="6" a="1"/>
  <c r="J55" i="3" a="1"/>
  <c r="P99" i="4" a="1"/>
  <c r="I44" i="6" a="1"/>
  <c r="L29" i="6" a="1"/>
  <c r="M98" i="3" a="1"/>
  <c r="J94" i="5" a="1"/>
  <c r="M65" i="3" a="1"/>
  <c r="P85" i="4" a="1"/>
  <c r="L56" i="5" a="1"/>
  <c r="P51" i="5" a="1"/>
  <c r="K74" i="5" a="1"/>
  <c r="L73" i="6" a="1"/>
  <c r="I46" i="6" a="1"/>
  <c r="J102" i="6" a="1"/>
  <c r="J76" i="4" a="1"/>
  <c r="K85" i="6" a="1"/>
  <c r="I16" i="4" a="1"/>
  <c r="K64" i="4" a="1"/>
  <c r="I122" i="4" a="1"/>
  <c r="L60" i="6" a="1"/>
  <c r="L56" i="4" a="1"/>
  <c r="I88" i="4" a="1"/>
  <c r="L91" i="4" a="1"/>
  <c r="I13" i="5" a="1"/>
  <c r="I9" i="4" a="1"/>
  <c r="M60" i="5" a="1"/>
  <c r="I102" i="6" a="1"/>
  <c r="J121" i="5" a="1"/>
  <c r="J31" i="3" a="1"/>
  <c r="M112" i="5" a="1"/>
  <c r="J54" i="3" a="1"/>
  <c r="P114" i="4" a="1"/>
  <c r="K109" i="6" a="1"/>
  <c r="J120" i="4" a="1"/>
  <c r="I110" i="5" a="1"/>
  <c r="I99" i="3" a="1"/>
  <c r="I13" i="4" a="1"/>
  <c r="I3" i="6" a="1"/>
  <c r="M100" i="4" a="1"/>
  <c r="L70" i="5" a="1"/>
  <c r="I88" i="3" a="1"/>
  <c r="P47" i="4" a="1"/>
  <c r="K69" i="6" a="1"/>
  <c r="L86" i="4" a="1"/>
  <c r="J89" i="6" a="1"/>
  <c r="I83" i="3" a="1"/>
  <c r="J47" i="5" a="1"/>
  <c r="I31" i="3" a="1"/>
  <c r="I3" i="4" a="1"/>
  <c r="P60" i="6" a="1"/>
  <c r="M23" i="6" a="1"/>
  <c r="L53" i="6" a="1"/>
  <c r="J95" i="4" a="1"/>
  <c r="J53" i="6" a="1"/>
  <c r="M51" i="4" a="1"/>
  <c r="J43" i="6" a="1"/>
  <c r="J56" i="5" a="1"/>
  <c r="J46" i="6" a="1"/>
  <c r="M114" i="6" a="1"/>
  <c r="L57" i="4" a="1"/>
  <c r="I66" i="5" a="1"/>
  <c r="K64" i="3" a="1"/>
  <c r="M95" i="3" a="1"/>
  <c r="P67" i="5" a="1"/>
  <c r="J31" i="4" a="1"/>
  <c r="I73" i="3" a="1"/>
  <c r="J96" i="6" a="1"/>
  <c r="P125" i="4" a="1"/>
  <c r="I107" i="3" a="1"/>
  <c r="J112" i="3" a="1"/>
  <c r="P55" i="3" a="1"/>
  <c r="L86" i="6" a="1"/>
  <c r="I121" i="5" a="1"/>
  <c r="J82" i="3" a="1"/>
  <c r="P75" i="5" a="1"/>
  <c r="I19" i="4" a="1"/>
  <c r="I87" i="4" a="1"/>
  <c r="P96" i="6" a="1"/>
  <c r="J86" i="4" a="1"/>
  <c r="I125" i="5" a="1"/>
  <c r="L109" i="6" a="1"/>
  <c r="K114" i="4" a="1"/>
  <c r="P49" i="6" a="1"/>
  <c r="P46" i="3" a="1"/>
  <c r="J111" i="5" a="1"/>
  <c r="L104" i="3" a="1"/>
  <c r="L38" i="4" a="1"/>
  <c r="P56" i="6" a="1"/>
  <c r="J80" i="4" a="1"/>
  <c r="I49" i="6" a="1"/>
  <c r="M93" i="3" a="1"/>
  <c r="I93" i="5" a="1"/>
  <c r="M22" i="3" a="1"/>
  <c r="L121" i="4" a="1"/>
  <c r="P69" i="6" a="1"/>
  <c r="P81" i="6" a="1"/>
  <c r="P74" i="6" a="1"/>
  <c r="P51" i="4" a="1"/>
  <c r="J99" i="6" a="1"/>
  <c r="I36" i="4" a="1"/>
  <c r="I17" i="6" a="1"/>
  <c r="J34" i="4" a="1"/>
  <c r="P36" i="6" a="1"/>
  <c r="J33" i="3" a="1"/>
  <c r="I5" i="5" a="1"/>
  <c r="I11" i="6" a="1"/>
  <c r="J123" i="4" a="1"/>
  <c r="L124" i="5" a="1"/>
  <c r="K115" i="3" a="1"/>
  <c r="K126" i="5" a="1"/>
  <c r="M76" i="6" a="1"/>
  <c r="I106" i="5" a="1"/>
  <c r="K108" i="3" a="1"/>
  <c r="M126" i="5" a="1"/>
  <c r="J100" i="6" a="1"/>
  <c r="J111" i="4" a="1"/>
  <c r="I118" i="6" a="1"/>
  <c r="K73" i="4" a="1"/>
  <c r="I72" i="5" a="1"/>
  <c r="L102" i="6" a="1"/>
  <c r="P63" i="4" a="1"/>
  <c r="I60" i="5" a="1"/>
  <c r="M64" i="3" a="1"/>
  <c r="K105" i="5" a="1"/>
  <c r="M88" i="3" a="1"/>
  <c r="P97" i="6" a="1"/>
  <c r="I32" i="3" a="1"/>
  <c r="L85" i="5" a="1"/>
  <c r="K107" i="4" a="1"/>
  <c r="P65" i="6" a="1"/>
  <c r="J85" i="3" a="1"/>
  <c r="L50" i="6" a="1"/>
  <c r="L77" i="6" a="1"/>
  <c r="I51" i="3" a="1"/>
  <c r="L52" i="6" a="1"/>
  <c r="L105" i="5" a="1"/>
  <c r="L30" i="3" a="1"/>
  <c r="I94" i="4" a="1"/>
  <c r="P112" i="3" a="1"/>
  <c r="I53" i="4" a="1"/>
  <c r="P102" i="6" a="1"/>
  <c r="L64" i="4" a="1"/>
  <c r="L72" i="4" a="1"/>
  <c r="I97" i="6" a="1"/>
  <c r="J114" i="4" a="1"/>
  <c r="P55" i="6" a="1"/>
  <c r="P74" i="3" a="1"/>
  <c r="J117" i="5" a="1"/>
  <c r="I28" i="3" a="1"/>
  <c r="I26" i="4" a="1"/>
  <c r="P62" i="6" a="1"/>
  <c r="J46" i="4" a="1"/>
  <c r="I58" i="6" a="1"/>
  <c r="L78" i="3" a="1"/>
  <c r="K111" i="5" a="1"/>
  <c r="L62" i="3" a="1"/>
  <c r="K45" i="4" a="1"/>
  <c r="M75" i="5" a="1"/>
  <c r="M51" i="6" a="1"/>
  <c r="K59" i="6" a="1"/>
  <c r="P60" i="4" a="1"/>
  <c r="L106" i="6" a="1"/>
  <c r="P57" i="3" a="1"/>
  <c r="I33" i="6" a="1"/>
  <c r="J58" i="4" a="1"/>
  <c r="L110" i="6" a="1"/>
  <c r="J64" i="3" a="1"/>
  <c r="K109" i="4" a="1"/>
  <c r="K112" i="6" a="1"/>
  <c r="L101" i="4" a="1"/>
  <c r="J118" i="5" a="1"/>
  <c r="M33" i="3" a="1"/>
  <c r="P113" i="5" a="1"/>
  <c r="K73" i="6" a="1"/>
  <c r="M96" i="5" a="1"/>
  <c r="I63" i="3" a="1"/>
  <c r="P101" i="5" a="1"/>
  <c r="K72" i="6" a="1"/>
  <c r="J117" i="4" a="1"/>
  <c r="P117" i="6" a="1"/>
  <c r="L91" i="6" a="1"/>
  <c r="M43" i="4" a="1"/>
  <c r="I66" i="6" a="1"/>
  <c r="M117" i="5" a="1"/>
  <c r="M24" i="6" a="1"/>
  <c r="K68" i="5" a="1"/>
  <c r="I70" i="3" a="1"/>
  <c r="M84" i="4" a="1"/>
  <c r="L31" i="3" a="1"/>
  <c r="J94" i="4" a="1"/>
  <c r="I8" i="6" a="1"/>
  <c r="I48" i="4" a="1"/>
  <c r="J66" i="4" a="1"/>
  <c r="L81" i="6" a="1"/>
  <c r="P107" i="4" a="1"/>
  <c r="K40" i="6" a="1"/>
  <c r="P113" i="3" a="1"/>
  <c r="K89" i="5" a="1"/>
  <c r="M99" i="4" a="1"/>
  <c r="K60" i="4" a="1"/>
  <c r="L93" i="6" a="1"/>
  <c r="I61" i="4" a="1"/>
  <c r="K79" i="6" a="1"/>
  <c r="M44" i="3" a="1"/>
  <c r="L83" i="5" a="1"/>
  <c r="J68" i="4" a="1"/>
  <c r="P108" i="4" a="1"/>
  <c r="M41" i="5" a="1"/>
  <c r="M60" i="6" a="1"/>
  <c r="K105" i="6" a="1"/>
  <c r="J42" i="4" a="1"/>
  <c r="J111" i="6" a="1"/>
  <c r="P59" i="3" a="1"/>
  <c r="L2" i="6" a="1"/>
  <c r="I123" i="4" a="1"/>
  <c r="J107" i="6" a="1"/>
  <c r="I80" i="3" a="1"/>
  <c r="K75" i="4" a="1"/>
  <c r="K118" i="6" a="1"/>
  <c r="L48" i="4" a="1"/>
  <c r="J124" i="5" a="1"/>
  <c r="I27" i="3" a="1"/>
  <c r="P39" i="5" a="1"/>
  <c r="K82" i="6" a="1"/>
  <c r="M102" i="5" a="1"/>
  <c r="I67" i="3" a="1"/>
  <c r="P107" i="5" a="1"/>
  <c r="K78" i="6" a="1"/>
  <c r="J83" i="4" a="1"/>
  <c r="L63" i="6" a="1"/>
  <c r="P72" i="4" a="1"/>
  <c r="I44" i="5" a="1"/>
  <c r="I13" i="6" a="1"/>
  <c r="P79" i="3" a="1"/>
  <c r="M56" i="5" a="1"/>
  <c r="L110" i="3" a="1"/>
  <c r="M86" i="5" a="1"/>
  <c r="K104" i="3" a="1"/>
  <c r="J45" i="5" a="1"/>
  <c r="I79" i="3" a="1"/>
  <c r="L52" i="5" a="1"/>
  <c r="P106" i="6" a="1"/>
  <c r="K57" i="3" a="1"/>
  <c r="I62" i="5" a="1"/>
  <c r="L82" i="6" a="1"/>
  <c r="P86" i="4" a="1"/>
  <c r="P81" i="4" a="1"/>
  <c r="I80" i="5" a="1"/>
  <c r="P122" i="6" a="1"/>
  <c r="I22" i="5" a="1"/>
  <c r="K40" i="3" a="1"/>
  <c r="J72" i="4" a="1"/>
  <c r="L115" i="6" a="1"/>
  <c r="P115" i="4" a="1"/>
  <c r="I15" i="6" a="1"/>
  <c r="L42" i="4" a="1"/>
  <c r="M50" i="4" a="1"/>
  <c r="L87" i="6" a="1"/>
  <c r="P73" i="4" a="1"/>
  <c r="J123" i="6" a="1"/>
  <c r="M103" i="3" a="1"/>
  <c r="J49" i="5" a="1"/>
  <c r="L93" i="3" a="1"/>
  <c r="P74" i="4" a="1"/>
  <c r="P114" i="6" a="1"/>
  <c r="P91" i="4" a="1"/>
  <c r="K88" i="6" a="1"/>
  <c r="L83" i="3" a="1"/>
  <c r="L89" i="5" a="1"/>
  <c r="L107" i="4" a="1"/>
  <c r="J47" i="4" a="1"/>
  <c r="P56" i="5" a="1"/>
  <c r="L69" i="5" a="1"/>
  <c r="L23" i="6" a="1"/>
  <c r="P39" i="3" a="1"/>
  <c r="M95" i="6" a="1"/>
  <c r="P118" i="3" a="1"/>
  <c r="J41" i="6" a="1"/>
  <c r="P82" i="4" a="1"/>
  <c r="J116" i="6" a="1"/>
  <c r="J105" i="3" a="1"/>
  <c r="L87" i="4" a="1"/>
  <c r="J118" i="6" a="1"/>
  <c r="L119" i="4" a="1"/>
  <c r="J90" i="5" a="1"/>
  <c r="M99" i="3" a="1"/>
  <c r="L116" i="5" a="1"/>
  <c r="K91" i="6" a="1"/>
  <c r="M68" i="5" a="1"/>
  <c r="I121" i="3" a="1"/>
  <c r="K92" i="5" a="1"/>
  <c r="J78" i="6" a="1"/>
  <c r="L61" i="4" a="1"/>
  <c r="I59" i="6" a="1"/>
  <c r="P61" i="3" a="1"/>
  <c r="P86" i="5" a="1"/>
  <c r="M43" i="6" a="1"/>
  <c r="P75" i="3" a="1"/>
  <c r="M62" i="5" a="1"/>
  <c r="K77" i="3" a="1"/>
  <c r="P61" i="5" a="1"/>
  <c r="I101" i="3" a="1"/>
  <c r="I51" i="4" a="1"/>
  <c r="I58" i="3" a="1"/>
  <c r="I40" i="5" a="1"/>
  <c r="I82" i="6" a="1"/>
  <c r="I39" i="3" a="1"/>
  <c r="M49" i="4" a="1"/>
  <c r="P92" i="6" a="1"/>
  <c r="I85" i="4" a="1"/>
  <c r="K101" i="3" a="1"/>
  <c r="M49" i="6" a="1"/>
  <c r="J125" i="5" a="1"/>
  <c r="J11" i="6" a="1"/>
  <c r="K42" i="5" a="1"/>
  <c r="I126" i="3" a="1"/>
  <c r="M56" i="4" a="1"/>
  <c r="I103" i="6" a="1"/>
  <c r="K126" i="4" a="1"/>
  <c r="I4" i="6" a="1"/>
  <c r="J122" i="4" a="1"/>
  <c r="J38" i="4" a="1"/>
  <c r="J121" i="6" a="1"/>
  <c r="J52" i="4" a="1"/>
  <c r="P116" i="6" a="1"/>
  <c r="L88" i="3" a="1"/>
  <c r="J98" i="5" a="1"/>
  <c r="K44" i="3" a="1"/>
  <c r="I47" i="4" a="1"/>
  <c r="K99" i="6" a="1"/>
  <c r="P100" i="4" a="1"/>
  <c r="J97" i="5" a="1"/>
  <c r="J89" i="3" a="1"/>
  <c r="M61" i="5" a="1"/>
  <c r="I120" i="3" a="1"/>
  <c r="P42" i="4" a="1"/>
  <c r="L47" i="5" a="1"/>
  <c r="J23" i="5" a="1"/>
  <c r="K117" i="6" a="1"/>
  <c r="P60" i="3" a="1"/>
  <c r="L55" i="6" a="1"/>
  <c r="I106" i="3" a="1"/>
  <c r="L59" i="6" a="1"/>
  <c r="J30" i="4" a="1"/>
  <c r="J125" i="6" a="1"/>
  <c r="L121" i="3" a="1"/>
  <c r="M59" i="4" a="1"/>
  <c r="P24" i="6" a="1"/>
  <c r="K122" i="4" a="1"/>
  <c r="P83" i="5" a="1"/>
  <c r="M84" i="3" a="1"/>
  <c r="I64" i="5" a="1"/>
  <c r="P127" i="5" a="1"/>
  <c r="K62" i="5" a="1"/>
  <c r="I118" i="4" a="1"/>
  <c r="J39" i="5" a="1"/>
  <c r="J124" i="6" a="1"/>
  <c r="I92" i="4" a="1"/>
  <c r="K37" i="6" a="1"/>
  <c r="P119" i="3" a="1"/>
  <c r="J108" i="5" a="1"/>
  <c r="J120" i="6" a="1"/>
  <c r="K113" i="3" a="1"/>
  <c r="I4" i="5" a="1"/>
  <c r="J15" i="4" a="1"/>
  <c r="I54" i="5" a="1"/>
  <c r="K54" i="3" a="1"/>
  <c r="M106" i="5" a="1"/>
  <c r="P24" i="3" a="1"/>
  <c r="J18" i="6" a="1"/>
  <c r="K56" i="5" a="1"/>
  <c r="L83" i="4" a="1"/>
  <c r="P105" i="4" a="1"/>
  <c r="L76" i="5" a="1"/>
  <c r="L54" i="3" a="1"/>
  <c r="I15" i="4" a="1"/>
  <c r="I64" i="6" a="1"/>
  <c r="I36" i="5" a="1"/>
  <c r="K124" i="3" a="1"/>
  <c r="I121" i="4" a="1"/>
  <c r="I109" i="6" a="1"/>
  <c r="K92" i="4" a="1"/>
  <c r="K22" i="6" a="1"/>
  <c r="P87" i="3" a="1"/>
  <c r="L99" i="4" a="1"/>
  <c r="K51" i="6" a="1"/>
  <c r="L116" i="4" a="1"/>
  <c r="M73" i="6" a="1"/>
  <c r="I86" i="3" a="1"/>
  <c r="K73" i="5" a="1"/>
  <c r="L93" i="4" a="1"/>
  <c r="K94" i="4" a="1"/>
  <c r="K30" i="6" a="1"/>
  <c r="J82" i="4" a="1"/>
  <c r="J63" i="5" a="1"/>
  <c r="L90" i="3" a="1"/>
  <c r="M110" i="5" a="1"/>
  <c r="I31" i="4" a="1"/>
  <c r="K108" i="4" a="1"/>
  <c r="I35" i="5" a="1"/>
  <c r="M47" i="5" a="1"/>
  <c r="P104" i="6" a="1"/>
  <c r="P28" i="3" a="1"/>
  <c r="J49" i="6" a="1"/>
  <c r="K51" i="3" a="1"/>
  <c r="I47" i="6" a="1"/>
  <c r="L45" i="4" a="1"/>
  <c r="P44" i="5" a="1"/>
  <c r="K41" i="3" a="1"/>
  <c r="P117" i="4" a="1"/>
  <c r="I41" i="6" a="1"/>
  <c r="I119" i="4" a="1"/>
  <c r="M43" i="5" a="1"/>
  <c r="I30" i="3" a="1"/>
  <c r="P112" i="5" a="1"/>
  <c r="J106" i="5" a="1"/>
  <c r="P41" i="5" a="1"/>
  <c r="P22" i="3" a="1"/>
  <c r="I98" i="5" a="1"/>
  <c r="I124" i="6" a="1"/>
  <c r="L79" i="4" a="1"/>
  <c r="J2" i="6" a="1"/>
  <c r="K22" i="3" a="1"/>
  <c r="K80" i="5" a="1"/>
  <c r="K92" i="6" a="1"/>
  <c r="M21" i="3" a="1"/>
  <c r="K65" i="5" a="1"/>
  <c r="J92" i="3" a="1"/>
  <c r="K52" i="5" a="1"/>
  <c r="I64" i="3" a="1"/>
  <c r="M72" i="4" a="1"/>
  <c r="L33" i="3" a="1"/>
  <c r="M42" i="5" a="1"/>
  <c r="J26" i="5" a="1"/>
  <c r="K71" i="3" a="1"/>
  <c r="P60" i="5" a="1"/>
  <c r="M38" i="5" a="1"/>
  <c r="M109" i="6" a="1"/>
  <c r="K43" i="4" a="1"/>
  <c r="P48" i="6" a="1"/>
  <c r="J102" i="3" a="1"/>
  <c r="K38" i="5" a="1"/>
  <c r="L67" i="5" a="1"/>
  <c r="J99" i="5" a="1"/>
  <c r="J45" i="6" a="1"/>
  <c r="J126" i="4" a="1"/>
  <c r="P44" i="3" a="1"/>
  <c r="P46" i="5" a="1"/>
  <c r="P121" i="5" a="1"/>
  <c r="J84" i="6" a="1"/>
  <c r="I59" i="4" a="1"/>
  <c r="J9" i="5" a="1"/>
  <c r="J85" i="4" a="1"/>
  <c r="L107" i="5" a="1"/>
  <c r="P106" i="4" a="1"/>
  <c r="I73" i="6" a="1"/>
  <c r="K95" i="5" a="1"/>
  <c r="I42" i="4" a="1"/>
  <c r="J93" i="4" a="1"/>
  <c r="I88" i="6" a="1"/>
  <c r="M70" i="4" a="1"/>
  <c r="K68" i="6" a="1"/>
  <c r="I96" i="4" a="1"/>
  <c r="M71" i="4" a="1"/>
  <c r="I127" i="6" a="1"/>
  <c r="L125" i="4" a="1"/>
  <c r="M82" i="6" a="1"/>
  <c r="K56" i="3" a="1"/>
  <c r="L88" i="5" a="1"/>
  <c r="I91" i="6" a="1"/>
  <c r="P95" i="4" a="1"/>
  <c r="K28" i="6" a="1"/>
  <c r="P124" i="3" a="1"/>
  <c r="K75" i="5" a="1"/>
  <c r="K107" i="3" a="1"/>
  <c r="K107" i="5" a="1"/>
  <c r="K63" i="6" a="1"/>
  <c r="I68" i="4" a="1"/>
  <c r="J7" i="5" a="1"/>
  <c r="K41" i="5" a="1"/>
  <c r="M61" i="6" a="1"/>
  <c r="L120" i="3" a="1"/>
  <c r="P125" i="6" a="1"/>
  <c r="M89" i="3" a="1"/>
  <c r="I93" i="6" a="1"/>
  <c r="J88" i="4" a="1"/>
  <c r="L91" i="5" a="1"/>
  <c r="J77" i="3" a="1"/>
  <c r="J96" i="4" a="1"/>
  <c r="L71" i="6" a="1"/>
  <c r="P53" i="3" a="1"/>
  <c r="L126" i="5" a="1"/>
  <c r="J5" i="4" a="1"/>
  <c r="M115" i="4" a="1"/>
  <c r="J112" i="5" a="1"/>
  <c r="I108" i="5" a="1"/>
  <c r="M32" i="3" a="1"/>
  <c r="L42" i="5" a="1"/>
  <c r="P32" i="6" a="1"/>
  <c r="K82" i="4" a="1"/>
  <c r="M104" i="6" a="1"/>
  <c r="L56" i="3" a="1"/>
  <c r="K86" i="5" a="1"/>
  <c r="J92" i="6" a="1"/>
  <c r="M106" i="3" a="1"/>
  <c r="P95" i="5" a="1"/>
  <c r="M73" i="3" a="1"/>
  <c r="J95" i="5" a="1"/>
  <c r="M77" i="4" a="1"/>
  <c r="J118" i="4" a="1"/>
  <c r="I107" i="5" a="1"/>
  <c r="J123" i="3" a="1"/>
  <c r="J51" i="6" a="1"/>
  <c r="I18" i="5" a="1"/>
  <c r="I26" i="5" a="1"/>
  <c r="L33" i="6" a="1"/>
  <c r="J70" i="6" a="1"/>
  <c r="P55" i="5" a="1"/>
  <c r="P97" i="3" a="1"/>
  <c r="J91" i="3" a="1"/>
  <c r="I84" i="6" a="1"/>
  <c r="J17" i="5" a="1"/>
  <c r="M102" i="3" a="1"/>
  <c r="J48" i="6" a="1"/>
  <c r="P2" i="5" a="1"/>
  <c r="I125" i="3" a="1"/>
  <c r="J59" i="4" a="1"/>
  <c r="J4" i="6" a="1"/>
  <c r="L100" i="4" a="1"/>
  <c r="K74" i="6" a="1"/>
  <c r="J118" i="3" a="1"/>
  <c r="J19" i="4" a="1"/>
  <c r="I10" i="6" a="1"/>
  <c r="P109" i="4" a="1"/>
  <c r="I107" i="6" a="1"/>
  <c r="I109" i="3" a="1"/>
  <c r="L103" i="5" a="1"/>
  <c r="L75" i="6" a="1"/>
  <c r="M92" i="4" a="1"/>
  <c r="K34" i="6" a="1"/>
  <c r="P91" i="3" a="1"/>
  <c r="I69" i="5" a="1"/>
  <c r="J57" i="3" a="1"/>
  <c r="M45" i="5" a="1"/>
  <c r="P50" i="6" a="1"/>
  <c r="K70" i="4" a="1"/>
  <c r="P45" i="5" a="1"/>
  <c r="I7" i="5" a="1"/>
  <c r="K55" i="6" a="1"/>
  <c r="I55" i="3" a="1"/>
  <c r="L119" i="6" a="1"/>
  <c r="K53" i="3" a="1"/>
  <c r="M123" i="6" a="1"/>
  <c r="P76" i="3" a="1"/>
  <c r="I12" i="5" a="1"/>
  <c r="M81" i="4" a="1"/>
  <c r="J62" i="4" a="1"/>
  <c r="J105" i="6" a="1"/>
  <c r="P51" i="3" a="1"/>
  <c r="I88" i="5" a="1"/>
  <c r="K20" i="3" a="1"/>
  <c r="P90" i="4" a="1"/>
  <c r="P105" i="5" a="1"/>
  <c r="I114" i="5" a="1"/>
  <c r="K48" i="3" a="1"/>
  <c r="K91" i="5" a="1"/>
  <c r="L31" i="6" a="1"/>
  <c r="I79" i="4" a="1"/>
  <c r="L104" i="6" a="1"/>
  <c r="I49" i="3" a="1"/>
  <c r="M113" i="5" a="1"/>
  <c r="K107" i="6" a="1"/>
  <c r="L76" i="3" a="1"/>
  <c r="I68" i="5" a="1"/>
  <c r="L55" i="3" a="1"/>
  <c r="I58" i="5" a="1"/>
  <c r="I120" i="4" a="1"/>
  <c r="P71" i="4" a="1"/>
  <c r="I22" i="3" a="1"/>
  <c r="I39" i="5" a="1"/>
  <c r="I32" i="5" a="1"/>
  <c r="K28" i="3" a="1"/>
  <c r="L104" i="4" a="1"/>
  <c r="J99" i="4" a="1"/>
  <c r="I84" i="3" a="1"/>
  <c r="P43" i="3" a="1"/>
  <c r="I71" i="4" a="1"/>
  <c r="K76" i="6" a="1"/>
  <c r="M55" i="4" a="1"/>
  <c r="L86" i="5" a="1"/>
  <c r="M113" i="3" a="1"/>
  <c r="I53" i="5" a="1"/>
  <c r="I93" i="4" a="1"/>
  <c r="J114" i="6" a="1"/>
  <c r="M124" i="6" a="1"/>
  <c r="J42" i="6" a="1"/>
  <c r="J73" i="5" a="1"/>
  <c r="L119" i="5" a="1"/>
  <c r="P118" i="4" a="1"/>
  <c r="I21" i="4" a="1"/>
  <c r="J10" i="6" a="1"/>
  <c r="M48" i="4" a="1"/>
  <c r="P61" i="6" a="1"/>
  <c r="M115" i="6" a="1"/>
  <c r="L120" i="4" a="1"/>
  <c r="I56" i="6" a="1"/>
  <c r="P27" i="3" a="1"/>
  <c r="I116" i="6" a="1"/>
  <c r="L82" i="3" a="1"/>
  <c r="I54" i="4" a="1"/>
  <c r="I63" i="6" a="1"/>
  <c r="K86" i="4" a="1"/>
  <c r="P21" i="6" a="1"/>
  <c r="P109" i="3" a="1"/>
  <c r="L53" i="5" a="1"/>
  <c r="M125" i="3" a="1"/>
  <c r="P63" i="5" a="1"/>
  <c r="K35" i="6" a="1"/>
  <c r="K79" i="4" a="1"/>
  <c r="I99" i="5" a="1"/>
  <c r="P126" i="5" a="1"/>
  <c r="M72" i="6" a="1"/>
  <c r="I108" i="3" a="1"/>
  <c r="M29" i="6" a="1"/>
  <c r="K127" i="3" a="1"/>
  <c r="I105" i="6" a="1"/>
  <c r="P78" i="3" a="1"/>
  <c r="I92" i="5" a="1"/>
  <c r="J17" i="6" a="1"/>
  <c r="I49" i="4" a="1"/>
  <c r="L83" i="6" a="1"/>
  <c r="L80" i="3" a="1"/>
  <c r="I120" i="5" a="1"/>
  <c r="J22" i="4" a="1"/>
  <c r="P56" i="4" a="1"/>
  <c r="P111" i="5" a="1"/>
  <c r="L98" i="5" a="1"/>
  <c r="J29" i="3" a="1"/>
  <c r="J97" i="4" a="1"/>
  <c r="J65" i="6" a="1"/>
  <c r="P121" i="3" a="1"/>
  <c r="M119" i="6" a="1"/>
  <c r="M94" i="3" a="1"/>
  <c r="L2" i="5" a="1"/>
  <c r="I48" i="6" a="1"/>
  <c r="L25" i="3" a="1"/>
  <c r="I74" i="5" a="1"/>
  <c r="L117" i="3" a="1"/>
  <c r="K119" i="5" a="1"/>
  <c r="K98" i="4" a="1"/>
  <c r="I4" i="4" a="1"/>
  <c r="M114" i="3" a="1"/>
  <c r="P44" i="4" a="1"/>
  <c r="I38" i="5" a="1"/>
  <c r="J126" i="3" a="1"/>
  <c r="M91" i="5" a="1"/>
  <c r="J59" i="5" a="1"/>
  <c r="K50" i="6" a="1"/>
  <c r="I95" i="4" a="1"/>
  <c r="J79" i="6" a="1"/>
  <c r="L39" i="4" a="1"/>
  <c r="J74" i="3" a="1"/>
  <c r="P115" i="5" a="1"/>
  <c r="I67" i="5" a="1"/>
  <c r="J50" i="6" a="1"/>
  <c r="K54" i="6" a="1"/>
  <c r="J77" i="4" a="1"/>
  <c r="J112" i="4" a="1"/>
  <c r="K114" i="6" a="1"/>
  <c r="J127" i="5" a="1"/>
  <c r="I2" i="5" a="1"/>
  <c r="M121" i="6" a="1"/>
  <c r="K39" i="4" a="1"/>
  <c r="L28" i="6" a="1"/>
  <c r="I8" i="4" a="1"/>
  <c r="I36" i="6" a="1"/>
  <c r="J103" i="6" a="1"/>
  <c r="K120" i="4" a="1"/>
  <c r="I62" i="6" a="1"/>
  <c r="P95" i="3" a="1"/>
  <c r="P124" i="5" a="1"/>
  <c r="K27" i="3" a="1"/>
  <c r="M44" i="4" a="1"/>
  <c r="I69" i="6" a="1"/>
  <c r="K52" i="4" a="1"/>
  <c r="M101" i="6" a="1"/>
  <c r="L52" i="3" a="1"/>
  <c r="K53" i="5" a="1"/>
  <c r="L37" i="3" a="1"/>
  <c r="P78" i="5" a="1"/>
  <c r="K41" i="6" a="1"/>
  <c r="M60" i="4" a="1"/>
  <c r="J71" i="5" a="1"/>
  <c r="L94" i="5" a="1"/>
  <c r="M125" i="6" a="1"/>
  <c r="K75" i="3" a="1"/>
  <c r="K48" i="6" a="1"/>
  <c r="J98" i="3" a="1"/>
  <c r="L89" i="6" a="1"/>
  <c r="P58" i="3" a="1"/>
  <c r="P66" i="5" a="1"/>
  <c r="L118" i="6" a="1"/>
  <c r="J9" i="4" a="1"/>
  <c r="I71" i="6" a="1"/>
  <c r="I90" i="3" a="1"/>
  <c r="I46" i="5" a="1"/>
  <c r="M58" i="3" a="1"/>
  <c r="I69" i="4" a="1"/>
  <c r="P77" i="5" a="1"/>
  <c r="J27" i="5" a="1"/>
  <c r="I72" i="3" a="1"/>
  <c r="K69" i="4" a="1"/>
  <c r="L43" i="6" a="1"/>
  <c r="P80" i="3" a="1"/>
  <c r="M45" i="6" a="1"/>
  <c r="M43" i="3" a="1"/>
  <c r="P72" i="5" a="1"/>
  <c r="K42" i="6" a="1"/>
  <c r="J43" i="3" a="1"/>
  <c r="L58" i="5" a="1"/>
  <c r="M69" i="3" a="1"/>
  <c r="K51" i="5" a="1"/>
  <c r="K76" i="4" a="1"/>
  <c r="M117" i="4" a="1"/>
  <c r="L70" i="3" a="1"/>
  <c r="I30" i="5" a="1"/>
  <c r="L82" i="4" a="1"/>
  <c r="M83" i="4" a="1"/>
  <c r="J34" i="3" a="1"/>
  <c r="I55" i="6" a="1"/>
  <c r="J84" i="4" a="1"/>
  <c r="I65" i="3" a="1"/>
  <c r="L72" i="6" a="1"/>
  <c r="P36" i="3" a="1"/>
  <c r="J45" i="4" a="1"/>
  <c r="M79" i="6" a="1"/>
  <c r="L74" i="5" a="1"/>
  <c r="I82" i="5" a="1"/>
  <c r="J109" i="6" a="1"/>
  <c r="J2" i="4" a="1"/>
  <c r="L74" i="6" a="1"/>
  <c r="P127" i="3" a="1"/>
  <c r="J95" i="6" a="1"/>
  <c r="M87" i="6" a="1"/>
  <c r="I114" i="4" a="1"/>
  <c r="L46" i="6" a="1"/>
  <c r="P35" i="3" a="1"/>
  <c r="P90" i="5" a="1"/>
  <c r="L102" i="3" a="1"/>
  <c r="J32" i="4" a="1"/>
  <c r="M99" i="6" a="1"/>
  <c r="I12" i="4" a="1"/>
  <c r="K95" i="6" a="1"/>
  <c r="L109" i="3" a="1"/>
  <c r="P40" i="5" a="1"/>
  <c r="J66" i="3" a="1"/>
  <c r="I14" i="4" a="1"/>
  <c r="I75" i="6" a="1"/>
  <c r="P122" i="3" a="1"/>
  <c r="J77" i="5" a="1"/>
  <c r="P92" i="5" a="1"/>
  <c r="L45" i="6" a="1"/>
  <c r="J37" i="3" a="1"/>
  <c r="J57" i="5" a="1"/>
  <c r="I94" i="3" a="1"/>
  <c r="K49" i="6" a="1"/>
  <c r="K102" i="3" a="1"/>
  <c r="M108" i="5" a="1"/>
  <c r="L124" i="6" a="1"/>
  <c r="I125" i="4" a="1"/>
  <c r="P30" i="6" a="1"/>
  <c r="I104" i="3" a="1"/>
  <c r="M122" i="5" a="1"/>
  <c r="M67" i="3" a="1"/>
  <c r="J41" i="4" a="1"/>
  <c r="L68" i="5" a="1"/>
  <c r="J104" i="5" a="1"/>
  <c r="L41" i="3" a="1"/>
  <c r="J29" i="4" a="1"/>
  <c r="P23" i="6" a="1"/>
  <c r="P23" i="3" a="1"/>
  <c r="M54" i="6" a="1"/>
  <c r="I29" i="3" a="1"/>
  <c r="M75" i="4" a="1"/>
  <c r="P115" i="6" a="1"/>
  <c r="K94" i="3" a="1"/>
  <c r="K101" i="5" a="1"/>
  <c r="L24" i="3" a="1"/>
  <c r="J57" i="4" a="1"/>
  <c r="I73" i="4" a="1"/>
  <c r="L77" i="4" a="1"/>
  <c r="J97" i="3" a="1"/>
  <c r="L124" i="4" a="1"/>
  <c r="K108" i="5" a="1"/>
  <c r="L124" i="3" a="1"/>
  <c r="I11" i="4" a="1"/>
  <c r="K88" i="5" a="1"/>
  <c r="K62" i="6" a="1"/>
  <c r="J79" i="4" a="1"/>
  <c r="I14" i="5" a="1"/>
  <c r="K108" i="6" a="1"/>
  <c r="P47" i="3" a="1"/>
  <c r="J6" i="5" a="1"/>
  <c r="J100" i="5" a="1"/>
  <c r="J66" i="5" a="1"/>
  <c r="K45" i="3" a="1"/>
  <c r="K106" i="3" a="1"/>
  <c r="M62" i="4" a="1"/>
  <c r="K40" i="5" a="1"/>
  <c r="I110" i="3" a="1"/>
  <c r="K32" i="6" a="1"/>
  <c r="J43" i="4" a="1"/>
  <c r="I45" i="4" a="1"/>
  <c r="M42" i="3" a="1"/>
  <c r="P101" i="6" a="1"/>
  <c r="M62" i="6" a="1"/>
  <c r="L63" i="3" a="1"/>
  <c r="M44" i="6" a="1"/>
  <c r="P97" i="4" a="1"/>
  <c r="M74" i="6" a="1"/>
  <c r="L101" i="3" a="1"/>
  <c r="L40" i="3" a="1"/>
  <c r="M108" i="6" a="1"/>
  <c r="M54" i="3" a="1"/>
  <c r="P32" i="3" a="1"/>
  <c r="I36" i="3" a="1"/>
  <c r="M44" i="5" a="1"/>
  <c r="J28" i="5" a="1"/>
  <c r="J100" i="4" a="1"/>
  <c r="J115" i="6" a="1"/>
  <c r="L98" i="4" a="1"/>
  <c r="L80" i="6" a="1"/>
  <c r="P99" i="3" a="1"/>
  <c r="J104" i="6" a="1"/>
  <c r="M93" i="6" a="1"/>
  <c r="I80" i="4" a="1"/>
  <c r="J91" i="6" a="1"/>
  <c r="L27" i="3" a="1"/>
  <c r="I103" i="5" a="1"/>
  <c r="I59" i="3" a="1"/>
  <c r="I30" i="4" a="1"/>
  <c r="I121" i="6" a="1"/>
  <c r="I98" i="4" a="1"/>
  <c r="J55" i="6" a="1"/>
  <c r="I25" i="3" a="1"/>
  <c r="L117" i="5" a="1"/>
  <c r="J61" i="4" a="1"/>
  <c r="M127" i="4" a="1"/>
  <c r="K93" i="6" a="1"/>
  <c r="P105" i="3" a="1"/>
  <c r="K49" i="5" a="1"/>
  <c r="I65" i="5" a="1"/>
  <c r="L54" i="6" a="1"/>
  <c r="M112" i="3" a="1"/>
  <c r="J13" i="5" a="1"/>
  <c r="K123" i="3" a="1"/>
  <c r="I43" i="6" a="1"/>
  <c r="M47" i="3" a="1"/>
  <c r="K102" i="5" a="1"/>
  <c r="K124" i="6" a="1"/>
  <c r="M107" i="4" a="1"/>
  <c r="J98" i="6" a="1"/>
  <c r="M23" i="3" a="1"/>
  <c r="J70" i="5" a="1"/>
  <c r="L68" i="3" a="1"/>
  <c r="K96" i="4" a="1"/>
  <c r="I19" i="5" a="1"/>
  <c r="M48" i="5" a="1"/>
  <c r="J25" i="4" a="1"/>
  <c r="L47" i="4" a="1"/>
  <c r="P113" i="6" a="1"/>
  <c r="I26" i="3" a="1"/>
  <c r="P41" i="6" a="1"/>
  <c r="L112" i="3" a="1"/>
  <c r="P50" i="4" a="1"/>
  <c r="P87" i="5" a="1"/>
  <c r="I43" i="3" a="1"/>
  <c r="J64" i="5" a="1"/>
  <c r="L119" i="3" a="1"/>
  <c r="I17" i="4" a="1"/>
  <c r="P66" i="3" a="1"/>
  <c r="J71" i="4" a="1"/>
  <c r="J36" i="3" a="1"/>
  <c r="I112" i="4" a="1"/>
  <c r="J68" i="5" a="1"/>
  <c r="P88" i="3" a="1"/>
  <c r="M124" i="4" a="1"/>
  <c r="I96" i="5" a="1"/>
  <c r="P77" i="4" a="1"/>
  <c r="M110" i="6" a="1"/>
  <c r="K24" i="3" a="1"/>
  <c r="M90" i="4" a="1"/>
  <c r="K46" i="5" a="1"/>
  <c r="I113" i="4" a="1"/>
  <c r="P100" i="5" a="1"/>
  <c r="I78" i="6" a="1"/>
  <c r="P30" i="3" a="1"/>
  <c r="L30" i="6" a="1"/>
  <c r="I100" i="4" a="1"/>
  <c r="I21" i="5" a="1"/>
  <c r="P93" i="4" a="1"/>
  <c r="P38" i="6" a="1"/>
  <c r="P79" i="4" a="1"/>
  <c r="I68" i="6" a="1"/>
  <c r="P89" i="3" a="1"/>
  <c r="L125" i="6" a="1"/>
  <c r="K127" i="6" a="1"/>
  <c r="K58" i="4" a="1"/>
  <c r="I123" i="6" a="1"/>
  <c r="I38" i="3" a="1"/>
  <c r="M93" i="5" a="1"/>
  <c r="J102" i="4" a="1"/>
  <c r="I81" i="4" a="1"/>
  <c r="L105" i="6" a="1"/>
  <c r="I107" i="4" a="1"/>
  <c r="J64" i="6" a="1"/>
  <c r="J61" i="3" a="1"/>
  <c r="M89" i="5" a="1"/>
  <c r="I48" i="3" a="1"/>
  <c r="J33" i="4" a="1"/>
  <c r="P80" i="6" a="1"/>
  <c r="P123" i="3" a="1"/>
  <c r="K98" i="5" a="1"/>
  <c r="I71" i="5" a="1"/>
  <c r="K63" i="5" a="1"/>
  <c r="L43" i="3" a="1"/>
  <c r="J29" i="5" a="1"/>
  <c r="K32" i="3" a="1"/>
  <c r="M116" i="6" a="1"/>
  <c r="J104" i="3" a="1"/>
  <c r="J65" i="5" a="1"/>
  <c r="P28" i="6" a="1"/>
  <c r="L67" i="4" a="1"/>
  <c r="P94" i="6" a="1"/>
  <c r="I91" i="3" a="1"/>
  <c r="I119" i="5" a="1"/>
  <c r="I100" i="3" a="1"/>
  <c r="M74" i="4" a="1"/>
  <c r="J114" i="5" a="1"/>
  <c r="L97" i="5" a="1"/>
  <c r="I37" i="3" a="1"/>
  <c r="I115" i="3" a="1"/>
  <c r="J72" i="3" a="1"/>
  <c r="I33" i="4" a="1"/>
  <c r="L125" i="5" a="1"/>
  <c r="P38" i="4" a="1"/>
  <c r="J60" i="6" a="1"/>
  <c r="M96" i="4" a="1"/>
  <c r="J32" i="6" a="1"/>
  <c r="K90" i="6" a="1"/>
  <c r="K79" i="3" a="1"/>
  <c r="I124" i="3" a="1"/>
  <c r="L62" i="6" a="1"/>
  <c r="K94" i="5" a="1"/>
  <c r="M111" i="3" a="1"/>
  <c r="M57" i="5" a="1"/>
  <c r="K78" i="4" a="1"/>
  <c r="M22" i="6" a="1"/>
  <c r="K67" i="4" a="1"/>
  <c r="I34" i="6" a="1"/>
  <c r="M17" i="3" a="1"/>
  <c r="K45" i="6" a="1"/>
  <c r="I21" i="6" a="1"/>
  <c r="M122" i="4" a="1"/>
  <c r="P82" i="6" a="1"/>
  <c r="J22" i="3" a="1"/>
  <c r="J81" i="5" a="1"/>
  <c r="J73" i="3" a="1"/>
  <c r="J53" i="4" a="1"/>
  <c r="K24" i="6" a="1"/>
  <c r="K88" i="4" a="1"/>
  <c r="L85" i="6" a="1"/>
  <c r="J53" i="3" a="1"/>
  <c r="M95" i="5" a="1"/>
  <c r="P62" i="3" a="1"/>
  <c r="I115" i="4" a="1"/>
  <c r="P126" i="6" a="1"/>
  <c r="K59" i="3" a="1"/>
  <c r="I95" i="5" a="1"/>
  <c r="J43" i="5" a="1"/>
  <c r="I17" i="5" a="1"/>
  <c r="I127" i="3" a="1"/>
  <c r="I29" i="5" a="1"/>
  <c r="L114" i="3" a="1"/>
  <c r="K113" i="6" a="1"/>
  <c r="L100" i="3" a="1"/>
  <c r="J31" i="5" a="1"/>
  <c r="J47" i="6" a="1"/>
  <c r="M125" i="4" a="1"/>
  <c r="P103" i="6" a="1"/>
  <c r="M72" i="3" a="1"/>
  <c r="P124" i="4" a="1"/>
  <c r="J83" i="3" a="1"/>
  <c r="M40" i="4" a="1"/>
  <c r="J120" i="5" a="1"/>
  <c r="K103" i="4" a="1"/>
  <c r="K21" i="3" a="1"/>
  <c r="J56" i="4" a="1"/>
  <c r="L26" i="6" a="1"/>
  <c r="I89" i="3" a="1"/>
  <c r="L78" i="5" a="1"/>
  <c r="J20" i="3" a="1"/>
  <c r="I29" i="4" a="1"/>
  <c r="J72" i="5" a="1"/>
  <c r="K68" i="3" a="1"/>
  <c r="L57" i="5" a="1"/>
  <c r="I105" i="3" a="1"/>
  <c r="K124" i="4" a="1"/>
  <c r="I28" i="5" a="1"/>
  <c r="I65" i="4" a="1"/>
  <c r="J24" i="5" a="1"/>
  <c r="K42" i="3" a="1"/>
  <c r="K61" i="5" a="1"/>
  <c r="P39" i="6" a="1"/>
  <c r="J24" i="4" a="1"/>
  <c r="M84" i="6" a="1"/>
  <c r="M63" i="5" a="1"/>
  <c r="I93" i="3" a="1"/>
  <c r="P54" i="3" a="1"/>
  <c r="I3" i="5" a="1"/>
  <c r="L49" i="4" a="1"/>
  <c r="P42" i="5" a="1"/>
  <c r="P65" i="4" a="1"/>
  <c r="L22" i="6" a="1"/>
  <c r="P57" i="4" a="1"/>
  <c r="K33" i="6" a="1"/>
  <c r="M45" i="3" a="1"/>
  <c r="J8" i="6" a="1"/>
  <c r="L24" i="6" a="1"/>
  <c r="M112" i="4" a="1"/>
  <c r="P91" i="6" a="1"/>
  <c r="J25" i="3" a="1"/>
  <c r="I81" i="5" a="1"/>
  <c r="M79" i="4" a="1"/>
  <c r="J36" i="4" a="1"/>
  <c r="L34" i="6" a="1"/>
  <c r="P45" i="3" a="1"/>
  <c r="L94" i="6" a="1"/>
  <c r="J41" i="3" a="1"/>
  <c r="P70" i="5" a="1"/>
  <c r="M61" i="3" a="1"/>
  <c r="K53" i="4" a="1"/>
  <c r="K21" i="6" a="1"/>
  <c r="M87" i="3" a="1"/>
  <c r="L122" i="5" a="1"/>
  <c r="J92" i="5" a="1"/>
  <c r="L41" i="5" a="1"/>
  <c r="L50" i="3" a="1"/>
  <c r="L111" i="5" a="1"/>
  <c r="M56" i="3" a="1"/>
  <c r="K122" i="6" a="1"/>
  <c r="M123" i="3" a="1"/>
  <c r="J37" i="5" a="1"/>
  <c r="M31" i="6" a="1"/>
  <c r="L66" i="4" a="1"/>
  <c r="P112" i="6" a="1"/>
  <c r="J24" i="3" a="1"/>
  <c r="I97" i="4" a="1"/>
  <c r="L84" i="3" a="1"/>
  <c r="M66" i="4" a="1"/>
  <c r="M104" i="5" a="1"/>
  <c r="L75" i="4" a="1"/>
  <c r="J88" i="3" a="1"/>
  <c r="M123" i="4" a="1"/>
  <c r="P54" i="6" a="1"/>
  <c r="K98" i="3" a="1"/>
  <c r="L84" i="5" a="1"/>
  <c r="L86" i="3" a="1"/>
  <c r="L96" i="4" a="1"/>
  <c r="P65" i="5" a="1"/>
  <c r="K89" i="3" a="1"/>
  <c r="K63" i="4" a="1"/>
  <c r="J78" i="4" a="1"/>
  <c r="I78" i="4" a="1"/>
  <c r="K38" i="6" a="1"/>
  <c r="J91" i="4" a="1"/>
  <c r="P88" i="4" a="1"/>
  <c r="L111" i="4" a="1"/>
  <c r="J18" i="5" a="1"/>
  <c r="L112" i="4" a="1"/>
  <c r="K50" i="4" a="1"/>
  <c r="I34" i="5" a="1"/>
  <c r="P67" i="6" a="1"/>
  <c r="L51" i="3" a="1"/>
  <c r="I8" i="5" a="1"/>
  <c r="I40" i="6" a="1"/>
  <c r="I97" i="3" a="1"/>
  <c r="P120" i="5" a="1"/>
  <c r="I100" i="6" a="1"/>
  <c r="K123" i="4" a="1"/>
  <c r="J45" i="3" a="1"/>
  <c r="I81" i="3" a="1"/>
  <c r="P78" i="4" a="1"/>
  <c r="M80" i="5" a="1"/>
  <c r="I122" i="5" a="1"/>
  <c r="I27" i="5" a="1"/>
  <c r="I6" i="6" a="1"/>
  <c r="M119" i="4" a="1"/>
  <c r="I124" i="4" a="1"/>
  <c r="K104" i="4" a="1"/>
  <c r="K74" i="3" a="1"/>
  <c r="K105" i="4" a="1"/>
  <c r="J39" i="4" a="1"/>
  <c r="J65" i="4" a="1"/>
  <c r="P86" i="3" a="1"/>
  <c r="M125" i="5" a="1"/>
  <c r="J127" i="4" a="1"/>
  <c r="M34" i="6" a="1"/>
  <c r="J8" i="4" a="1"/>
  <c r="K101" i="6" a="1"/>
  <c r="I44" i="3" a="1"/>
  <c r="K109" i="5" a="1"/>
  <c r="J16" i="6" a="1"/>
  <c r="I116" i="4" a="1"/>
  <c r="J113" i="6" a="1"/>
  <c r="I57" i="3" a="1"/>
  <c r="L65" i="5" a="1"/>
  <c r="J97" i="6" a="1"/>
  <c r="I102" i="4" a="1"/>
  <c r="L40" i="6" a="1"/>
  <c r="P72" i="3" a="1"/>
  <c r="K103" i="5" a="1"/>
  <c r="J87" i="3" a="1"/>
  <c r="P119" i="5" a="1"/>
  <c r="J115" i="3" a="1"/>
  <c r="I7" i="4" a="1"/>
  <c r="I30" i="6" a="1"/>
  <c r="L35" i="3" a="1"/>
  <c r="J2" i="5" a="1"/>
  <c r="P88" i="5" a="1"/>
  <c r="J35" i="5" a="1"/>
  <c r="L96" i="3" a="1"/>
  <c r="I124" i="5" a="1"/>
  <c r="I118" i="3" a="1"/>
  <c r="P78" i="6" a="1"/>
  <c r="L94" i="3" a="1"/>
  <c r="I48" i="5" a="1"/>
  <c r="M77" i="6" a="1"/>
  <c r="J125" i="4" a="1"/>
  <c r="I11" i="5" a="1"/>
  <c r="M53" i="3" a="1"/>
  <c r="I63" i="4" a="1"/>
  <c r="P127" i="6" a="1"/>
  <c r="P110" i="4" a="1"/>
  <c r="I6" i="5" a="1"/>
  <c r="L41" i="4" a="1"/>
  <c r="K127" i="5" a="1"/>
  <c r="K117" i="4" a="1"/>
  <c r="P63" i="6" a="1"/>
  <c r="K47" i="3" a="1"/>
  <c r="J78" i="5" a="1"/>
  <c r="I119" i="3" a="1"/>
  <c r="K56" i="4" a="1"/>
  <c r="P71" i="5" a="1"/>
  <c r="J114" i="3" a="1"/>
  <c r="J23" i="4" a="1"/>
  <c r="I82" i="4" a="1"/>
  <c r="J10" i="4" a="1"/>
  <c r="J38" i="6" a="1"/>
  <c r="K57" i="4" a="1"/>
  <c r="P63" i="3" a="1"/>
  <c r="K71" i="4" a="1"/>
  <c r="M73" i="5" a="1"/>
  <c r="M48" i="3" a="1"/>
  <c r="P41" i="4" a="1"/>
  <c r="I123" i="5" a="1"/>
  <c r="P72" i="6" a="1"/>
  <c r="J116" i="3" a="1"/>
  <c r="J84" i="5" a="1"/>
  <c r="J16" i="4" a="1"/>
  <c r="J10" i="5" a="1"/>
  <c r="P126" i="4" a="1"/>
  <c r="K116" i="4" a="1"/>
  <c r="I54" i="6" a="1"/>
  <c r="P87" i="6" a="1"/>
  <c r="L44" i="6" a="1"/>
  <c r="P52" i="3" a="1"/>
  <c r="L60" i="4" a="1"/>
  <c r="I5" i="6" a="1"/>
  <c r="K100" i="4" a="1"/>
  <c r="J119" i="6" a="1"/>
  <c r="L54" i="5" a="1"/>
  <c r="K99" i="4" a="1"/>
  <c r="M80" i="6" a="1"/>
  <c r="P25" i="3" a="1"/>
  <c r="K110" i="6" a="1"/>
  <c r="I33" i="3" a="1"/>
  <c r="L121" i="5" a="1"/>
  <c r="J62" i="6" a="1"/>
  <c r="P67" i="3" a="1"/>
  <c r="J122" i="6" a="1"/>
  <c r="I111" i="3" a="1"/>
  <c r="I16" i="5" a="1"/>
  <c r="M81" i="6" a="1"/>
  <c r="P101" i="4" a="1"/>
  <c r="I28" i="6" a="1"/>
  <c r="P70" i="3" a="1"/>
  <c r="K69" i="5" a="1"/>
  <c r="M85" i="3" a="1"/>
  <c r="L113" i="5" a="1"/>
  <c r="J109" i="4" a="1"/>
  <c r="L114" i="4" a="1"/>
  <c r="K123" i="6" a="1"/>
  <c r="K65" i="3" a="1"/>
  <c r="L63" i="5" a="1"/>
  <c r="K116" i="5" a="1"/>
  <c r="I10" i="5" a="1"/>
  <c r="M107" i="3" a="1"/>
  <c r="M114" i="5" a="1"/>
  <c r="M124" i="3" a="1"/>
  <c r="I51" i="5" a="1"/>
  <c r="K50" i="3" a="1"/>
  <c r="L64" i="5" a="1"/>
  <c r="K111" i="6" a="1"/>
  <c r="P94" i="3" a="1"/>
  <c r="M124" i="5" a="1"/>
  <c r="K103" i="3" a="1"/>
  <c r="J75" i="4" a="1"/>
  <c r="J89" i="4" a="1"/>
  <c r="K110" i="5" a="1"/>
  <c r="M53" i="4" a="1"/>
  <c r="K106" i="6" a="1"/>
  <c r="P66" i="4" a="1"/>
  <c r="J26" i="6" a="1"/>
  <c r="J17" i="4" a="1"/>
  <c r="J33" i="6" a="1"/>
  <c r="M51" i="5" a="1"/>
  <c r="M126" i="6" a="1"/>
  <c r="J88" i="5" a="1"/>
  <c r="K65" i="4" a="1"/>
  <c r="M86" i="6" a="1"/>
  <c r="P100" i="3" a="1"/>
  <c r="L42" i="6" a="1"/>
  <c r="K86" i="3" a="1"/>
  <c r="J115" i="5" a="1"/>
  <c r="J68" i="6" a="1"/>
  <c r="P117" i="3" a="1"/>
  <c r="I125" i="6" a="1"/>
  <c r="L123" i="3" a="1"/>
  <c r="K117" i="5" a="1"/>
  <c r="J69" i="6" a="1"/>
  <c r="L92" i="4" a="1"/>
  <c r="P110" i="6" a="1"/>
  <c r="K85" i="3" a="1"/>
  <c r="L81" i="5" a="1"/>
  <c r="J94" i="3" a="1"/>
  <c r="P54" i="5" a="1"/>
  <c r="L69" i="6" a="1"/>
  <c r="K74" i="4" a="1"/>
  <c r="J83" i="6" a="1"/>
  <c r="K72" i="3" a="1"/>
  <c r="P48" i="4" a="1"/>
  <c r="K125" i="5" a="1"/>
  <c r="P81" i="5" a="1"/>
  <c r="K125" i="3" a="1"/>
  <c r="L77" i="5" a="1"/>
  <c r="L22" i="3" a="1"/>
  <c r="K39" i="5" a="1"/>
  <c r="M119" i="3" a="1"/>
  <c r="J61" i="5" a="1"/>
  <c r="M89" i="6" a="1"/>
  <c r="P96" i="3" a="1"/>
  <c r="P69" i="5" a="1"/>
  <c r="M79" i="3" a="1"/>
  <c r="K47" i="4" a="1"/>
  <c r="I106" i="6" a="1"/>
  <c r="M116" i="4" a="1"/>
  <c r="P57" i="5" a="1"/>
  <c r="J124" i="4" a="1"/>
  <c r="L78" i="6" a="1"/>
  <c r="K89" i="4" a="1"/>
  <c r="K106" i="5" a="1"/>
  <c r="K43" i="3" a="1"/>
  <c r="J50" i="5" a="1"/>
  <c r="J99" i="3" a="1"/>
  <c r="J105" i="4" a="1"/>
  <c r="M77" i="5" a="1"/>
  <c r="M30" i="6" a="1"/>
  <c r="K106" i="4" a="1"/>
  <c r="I52" i="4" a="1"/>
  <c r="J74" i="6" a="1"/>
  <c r="P50" i="3" a="1"/>
  <c r="L51" i="6" a="1"/>
  <c r="J111" i="3" a="1"/>
  <c r="M99" i="5" a="1"/>
  <c r="M52" i="6" a="1"/>
  <c r="P77" i="3" a="1"/>
  <c r="I97" i="5" a="1"/>
  <c r="J17" i="3" a="1"/>
  <c r="K123" i="5" a="1"/>
  <c r="J75" i="6" a="1"/>
  <c r="L58" i="4" a="1"/>
  <c r="L101" i="6" a="1"/>
  <c r="J113" i="3" a="1"/>
  <c r="J75" i="5" a="1"/>
  <c r="M34" i="3" a="1"/>
  <c r="I70" i="5" a="1"/>
  <c r="I57" i="6" a="1"/>
  <c r="J74" i="4" a="1"/>
  <c r="P76" i="6" a="1"/>
  <c r="L125" i="3" a="1"/>
  <c r="I18" i="4" a="1"/>
  <c r="K57" i="5" a="1"/>
  <c r="P123" i="5" a="1"/>
  <c r="J121" i="3" a="1"/>
  <c r="M49" i="5" a="1"/>
  <c r="L107" i="3" a="1"/>
  <c r="I23" i="5" a="1"/>
  <c r="L108" i="3" a="1"/>
  <c r="M88" i="5" a="1"/>
  <c r="J77" i="6" a="1"/>
  <c r="J84" i="3" a="1"/>
  <c r="K124" i="5" a="1"/>
  <c r="J70" i="3" a="1"/>
  <c r="L102" i="4" a="1"/>
  <c r="P105" i="6" a="1"/>
  <c r="J107" i="4" a="1"/>
  <c r="M103" i="5" a="1"/>
  <c r="I84" i="4" a="1"/>
  <c r="L84" i="6" a="1"/>
  <c r="M67" i="4" a="1"/>
  <c r="M84" i="5" a="1"/>
  <c r="J100" i="3" a="1"/>
  <c r="P43" i="5" a="1"/>
  <c r="P73" i="5" a="1"/>
  <c r="P98" i="4" a="1"/>
  <c r="I102" i="5" a="1"/>
  <c r="M50" i="3" a="1"/>
  <c r="K77" i="4" a="1"/>
  <c r="I39" i="4" a="1"/>
  <c r="M38" i="6" a="1"/>
  <c r="I56" i="3" a="1"/>
  <c r="K60" i="6" a="1"/>
  <c r="P45" i="4" a="1"/>
  <c r="J40" i="6" a="1"/>
  <c r="M39" i="3" a="1"/>
  <c r="M26" i="6" a="1"/>
  <c r="L77" i="3" a="1"/>
  <c r="L99" i="5" a="1"/>
  <c r="J3" i="6" a="1"/>
  <c r="J46" i="3" a="1"/>
  <c r="J109" i="5" a="1"/>
  <c r="I41" i="3" a="1"/>
  <c r="L95" i="5" a="1"/>
  <c r="P108" i="6" a="1"/>
  <c r="I6" i="4" a="1"/>
  <c r="K61" i="6" a="1"/>
  <c r="L39" i="3" a="1"/>
  <c r="M59" i="5" a="1"/>
  <c r="J68" i="3" a="1"/>
  <c r="I85" i="5" a="1"/>
  <c r="L41" i="6" a="1"/>
  <c r="P67" i="4" a="1"/>
  <c r="M33" i="6" a="1"/>
  <c r="I41" i="4" a="1"/>
  <c r="I62" i="4" a="1"/>
  <c r="L51" i="4" a="1"/>
  <c r="M83" i="5" a="1"/>
  <c r="J26" i="3" a="1"/>
  <c r="L49" i="5" a="1"/>
  <c r="J110" i="3" a="1"/>
  <c r="J16" i="5" a="1"/>
  <c r="J81" i="3" a="1"/>
  <c r="J79" i="5" a="1"/>
  <c r="I37" i="6" a="1"/>
  <c r="L29" i="3" a="1"/>
  <c r="K54" i="5" a="1"/>
  <c r="J90" i="4" a="1"/>
  <c r="P83" i="4" a="1"/>
  <c r="K36" i="6" a="1"/>
  <c r="I110" i="4" a="1"/>
  <c r="L109" i="4" a="1"/>
  <c r="K62" i="4" a="1"/>
  <c r="K84" i="6" a="1"/>
  <c r="J98" i="4" a="1"/>
  <c r="M90" i="5" a="1"/>
  <c r="J90" i="3" a="1"/>
  <c r="K114" i="5" a="1"/>
  <c r="P120" i="3" a="1"/>
  <c r="P104" i="4" a="1"/>
  <c r="J74" i="5" a="1"/>
  <c r="M100" i="3" a="1"/>
  <c r="I44" i="4" a="1"/>
  <c r="L38" i="6" a="1"/>
  <c r="K83" i="4" a="1"/>
  <c r="M2" i="6" a="1"/>
  <c r="P93" i="3" a="1"/>
  <c r="I32" i="6" a="1"/>
  <c r="J14" i="4" a="1"/>
  <c r="P70" i="4" a="1"/>
  <c r="P127" i="4" a="1"/>
  <c r="P49" i="3" a="1"/>
  <c r="J90" i="6" a="1"/>
  <c r="I127" i="4" a="1"/>
  <c r="L96" i="6" a="1"/>
  <c r="K115" i="6" a="1"/>
  <c r="J6" i="4" a="1"/>
  <c r="L21" i="6" a="1"/>
  <c r="L67" i="3" a="1"/>
  <c r="L115" i="5" a="1"/>
  <c r="J79" i="3" a="1"/>
  <c r="I87" i="5" a="1"/>
  <c r="M32" i="6" a="1"/>
  <c r="M81" i="3" a="1"/>
  <c r="P102" i="5" a="1"/>
  <c r="I50" i="3" a="1"/>
  <c r="K55" i="5" a="1"/>
  <c r="J127" i="6" a="1"/>
  <c r="J104" i="4" a="1"/>
  <c r="K70" i="6" a="1"/>
  <c r="M75" i="3" a="1"/>
  <c r="L59" i="5" a="1"/>
  <c r="L45" i="3" a="1"/>
  <c r="J20" i="4" a="1"/>
  <c r="L47" i="6" a="1"/>
  <c r="J12" i="4" a="1"/>
  <c r="M42" i="6" a="1"/>
  <c r="P114" i="3" a="1"/>
  <c r="L52" i="4" a="1"/>
  <c r="K46" i="4" a="1"/>
  <c r="P58" i="5" a="1"/>
  <c r="J86" i="3" a="1"/>
  <c r="J3" i="5" a="1"/>
  <c r="L92" i="3" a="1"/>
  <c r="L71" i="5" a="1"/>
  <c r="J125" i="3" a="1"/>
  <c r="J11" i="5" a="1"/>
  <c r="M27" i="6" a="1"/>
  <c r="L49" i="3" a="1"/>
  <c r="K96" i="5" a="1"/>
  <c r="P68" i="3" a="1"/>
  <c r="K100" i="6" a="1"/>
  <c r="J80" i="5" a="1"/>
  <c r="J67" i="4" a="1"/>
  <c r="I90" i="6" a="1"/>
  <c r="J44" i="4" a="1"/>
  <c r="J126" i="5" a="1"/>
  <c r="P52" i="4" a="1"/>
  <c r="K121" i="6" a="1"/>
  <c r="M104" i="4" a="1"/>
  <c r="L107" i="6" a="1"/>
  <c r="L58" i="3" a="1"/>
  <c r="M127" i="5" a="1"/>
  <c r="M55" i="3" a="1"/>
  <c r="P49" i="5" a="1"/>
  <c r="I89" i="6" a="1"/>
  <c r="M36" i="3" a="1"/>
  <c r="K87" i="5" a="1"/>
  <c r="J71" i="3" a="1"/>
  <c r="K104" i="5" a="1"/>
  <c r="M111" i="6" a="1"/>
  <c r="J113" i="4" a="1"/>
  <c r="M91" i="6" a="1"/>
  <c r="J93" i="3" a="1"/>
  <c r="I47" i="5" a="1"/>
  <c r="L59" i="3" a="1"/>
  <c r="I20" i="4" a="1"/>
  <c r="J81" i="6" a="1"/>
  <c r="P122" i="4" a="1"/>
  <c r="I67" i="6" a="1"/>
  <c r="I114" i="3" a="1"/>
  <c r="P41" i="3" a="1"/>
  <c r="I2" i="4" a="1"/>
  <c r="M55" i="5" a="1"/>
  <c r="I71" i="3" a="1"/>
  <c r="P79" i="5" a="1"/>
  <c r="M27" i="3" a="1"/>
  <c r="P117" i="5" a="1"/>
  <c r="J109" i="3" a="1"/>
  <c r="L115" i="4" a="1"/>
  <c r="K104" i="6" a="1"/>
  <c r="M63" i="3" a="1"/>
  <c r="I90" i="5" a="1"/>
  <c r="J14" i="6" a="1"/>
  <c r="L2" i="4" a="1"/>
  <c r="J59" i="6" a="1"/>
  <c r="P48" i="3" a="1"/>
  <c r="L112" i="6" a="1"/>
  <c r="L123" i="4" a="1"/>
  <c r="I85" i="6" a="1"/>
  <c r="L88" i="4" a="1"/>
  <c r="K90" i="5" a="1"/>
  <c r="M59" i="3" a="1"/>
  <c r="L92" i="5" a="1"/>
  <c r="I60" i="6" a="1"/>
  <c r="J49" i="4" a="1"/>
  <c r="M64" i="5" a="1"/>
  <c r="M111" i="4" a="1"/>
  <c r="P92" i="4" a="1"/>
  <c r="K44" i="6" a="1"/>
  <c r="J21" i="4" a="1"/>
  <c r="M98" i="6" a="1"/>
  <c r="L91" i="3" a="1"/>
  <c r="P77" i="6" a="1"/>
  <c r="J110" i="4" a="1"/>
  <c r="K118" i="4" a="1"/>
  <c r="J9" i="6" a="1"/>
  <c r="P119" i="4" a="1"/>
  <c r="L118" i="4" a="1"/>
  <c r="J20" i="5" a="1"/>
  <c r="L32" i="3" a="1"/>
  <c r="I116" i="5" a="1"/>
  <c r="L108" i="5" a="1"/>
  <c r="L73" i="3" a="1"/>
  <c r="L81" i="4" a="1"/>
  <c r="L105" i="3" a="1"/>
  <c r="P52" i="5" a="1"/>
  <c r="I106" i="4" a="1"/>
  <c r="M92" i="5" a="1"/>
  <c r="J110" i="6" a="1"/>
  <c r="K31" i="6" a="1"/>
  <c r="L57" i="3" a="1"/>
  <c r="I99" i="6" a="1"/>
  <c r="K57" i="6" a="1"/>
  <c r="I86" i="4" a="1"/>
  <c r="L116" i="6" a="1"/>
  <c r="L47" i="3" a="1"/>
  <c r="K121" i="5" a="1"/>
  <c r="K119" i="3" a="1"/>
  <c r="J82" i="5" a="1"/>
  <c r="I98" i="6" a="1"/>
  <c r="M25" i="3" a="1"/>
  <c r="J87" i="5" a="1"/>
  <c r="I103" i="3" a="1"/>
  <c r="L79" i="5" a="1"/>
  <c r="J15" i="6" a="1"/>
  <c r="L94" i="4" a="1"/>
  <c r="M100" i="6" a="1"/>
  <c r="I45" i="3" a="1"/>
  <c r="M123" i="5" a="1"/>
  <c r="M80" i="3" a="1"/>
  <c r="J27" i="4" a="1"/>
  <c r="L99" i="6" a="1"/>
  <c r="L76" i="4" a="1"/>
  <c r="I76" i="6" a="1"/>
  <c r="I72" i="4" a="1"/>
  <c r="K17" i="3" a="1"/>
  <c r="I58" i="4" a="1"/>
  <c r="I37" i="5" a="1"/>
  <c r="J69" i="3" a="1"/>
  <c r="L73" i="5" a="1"/>
  <c r="M122" i="3" a="1"/>
  <c r="I101" i="6" a="1"/>
  <c r="J106" i="6" a="1"/>
  <c r="K42" i="4" a="1"/>
  <c r="J12" i="6" a="1"/>
  <c r="L88" i="6" a="1"/>
  <c r="M86" i="3" a="1"/>
  <c r="J3" i="4" a="1"/>
  <c r="P31" i="6" a="1"/>
  <c r="L73" i="4" a="1"/>
  <c r="M48" i="6" a="1"/>
  <c r="L115" i="3" a="1"/>
  <c r="P108" i="5" a="1"/>
  <c r="M51" i="3" a="1"/>
  <c r="J48" i="5" a="1"/>
  <c r="K119" i="6" a="1"/>
  <c r="M20" i="3" a="1"/>
  <c r="M71" i="5" a="1"/>
  <c r="I85" i="3" a="1"/>
  <c r="M94" i="5" a="1"/>
  <c r="M40" i="6" a="1"/>
  <c r="P85" i="3" a="1"/>
  <c r="L109" i="5" a="1"/>
  <c r="M101" i="3" a="1"/>
  <c r="P98" i="5" a="1"/>
  <c r="M58" i="4" a="1"/>
  <c r="J121" i="4" a="1"/>
  <c r="I87" i="6" a="1"/>
  <c r="L85" i="4" a="1"/>
  <c r="P84" i="5" a="1"/>
  <c r="M30" i="3" a="1"/>
  <c r="M126" i="3" a="1"/>
  <c r="I67" i="4" a="1"/>
  <c r="I86" i="5" a="1"/>
  <c r="I40" i="3" a="1"/>
  <c r="I104" i="5" a="1"/>
  <c r="J32" i="3" a="1"/>
  <c r="K71" i="5" a="1"/>
  <c r="I23" i="3" a="1"/>
  <c r="M93" i="4" a="1"/>
  <c r="I110" i="6" a="1"/>
  <c r="K76" i="3" a="1"/>
  <c r="K60" i="5" a="1"/>
  <c r="J112" i="6" a="1"/>
  <c r="I117" i="4" a="1"/>
  <c r="J71" i="6" a="1"/>
  <c r="K62" i="3" a="1"/>
  <c r="M90" i="6" a="1"/>
  <c r="L95" i="4" a="1"/>
  <c r="M37" i="6" a="1"/>
  <c r="P102" i="3" a="1"/>
  <c r="I50" i="5" a="1"/>
  <c r="I70" i="4" a="1"/>
  <c r="L122" i="4" a="1"/>
  <c r="J30" i="6" a="1"/>
  <c r="P2" i="4" a="1"/>
  <c r="P91" i="5" a="1"/>
  <c r="M28" i="6" a="1"/>
  <c r="I64" i="4" a="1"/>
  <c r="M57" i="6" a="1"/>
  <c r="L38" i="3" a="1"/>
  <c r="M105" i="5" a="1"/>
  <c r="M26" i="3" a="1"/>
  <c r="I117" i="5" a="1"/>
  <c r="L66" i="6" a="1"/>
  <c r="I42" i="3" a="1"/>
  <c r="J22" i="5" a="1"/>
  <c r="J106" i="3" a="1"/>
  <c r="M109" i="5" a="1"/>
  <c r="M46" i="6" a="1"/>
  <c r="P33" i="3" a="1"/>
  <c r="L75" i="5" a="1"/>
  <c r="M96" i="3" a="1"/>
  <c r="P104" i="5" a="1"/>
  <c r="J64" i="4" a="1"/>
  <c r="L59" i="4" a="1"/>
  <c r="P118" i="6" a="1"/>
  <c r="P69" i="4" a="1"/>
  <c r="P50" i="5" a="1"/>
  <c r="J57" i="6" a="1"/>
  <c r="K121" i="4" a="1"/>
  <c r="P40" i="3" a="1"/>
  <c r="M79" i="5" a="1"/>
  <c r="I122" i="3" a="1"/>
  <c r="I113" i="5" a="1"/>
  <c r="I53" i="3" a="1"/>
  <c r="L43" i="5" a="1"/>
  <c r="M83" i="3" a="1"/>
  <c r="P68" i="4" a="1"/>
  <c r="I119" i="6" a="1"/>
  <c r="J35" i="3" a="1"/>
  <c r="M97" i="5" a="1"/>
  <c r="I112" i="6" a="1"/>
  <c r="K95" i="4" a="1"/>
  <c r="M55" i="6" a="1"/>
  <c r="M31" i="3" a="1"/>
  <c r="L90" i="6" a="1"/>
  <c r="P76" i="4" a="1"/>
  <c r="K71" i="6" a="1"/>
  <c r="P81" i="3" a="1"/>
  <c r="L120" i="5" a="1"/>
  <c r="M76" i="4" a="1"/>
  <c r="M82" i="5" a="1"/>
  <c r="P111" i="6" a="1"/>
  <c r="M63" i="4" a="1"/>
  <c r="K45" i="5" a="1"/>
  <c r="M50" i="6" a="1"/>
  <c r="L55" i="4" a="1"/>
  <c r="K102" i="6" a="1"/>
  <c r="J119" i="4" a="1"/>
  <c r="P88" i="6" a="1"/>
  <c r="I113" i="3" a="1"/>
  <c r="I19" i="6" a="1"/>
  <c r="P43" i="6" a="1"/>
  <c r="M57" i="4" a="1"/>
  <c r="P35" i="6" a="1"/>
  <c r="M110" i="3" a="1"/>
  <c r="J93" i="5" a="1"/>
  <c r="M117" i="3" a="1"/>
  <c r="P76" i="5" a="1"/>
  <c r="I2" i="6" a="1"/>
  <c r="J127" i="3" a="1"/>
  <c r="L123" i="5" a="1"/>
  <c r="I116" i="3" a="1"/>
  <c r="J60" i="4" a="1"/>
  <c r="J34" i="6" a="1"/>
  <c r="P71" i="3" a="1"/>
  <c r="M87" i="5" a="1"/>
  <c r="M108" i="3" a="1"/>
  <c r="I77" i="5" a="1"/>
  <c r="M70" i="3" a="1"/>
  <c r="J13" i="4" a="1"/>
  <c r="I16" i="6" a="1"/>
  <c r="P83" i="3" a="1"/>
  <c r="I63" i="5" a="1"/>
  <c r="M41" i="6" a="1"/>
  <c r="P92" i="3" a="1"/>
  <c r="K35" i="3" a="1"/>
  <c r="J110" i="5" a="1"/>
  <c r="J65" i="3" a="1"/>
  <c r="I45" i="5" a="1"/>
  <c r="L106" i="3" a="1"/>
  <c r="M60" i="3" a="1"/>
  <c r="P58" i="4" a="1"/>
  <c r="L40" i="5" a="1"/>
  <c r="P89" i="6" a="1"/>
  <c r="P65" i="3" a="1"/>
  <c r="M121" i="5" a="1"/>
  <c r="M115" i="3" a="1"/>
  <c r="I56" i="5" a="1"/>
  <c r="J117" i="3" a="1"/>
  <c r="P125" i="5" a="1"/>
  <c r="J103" i="5" a="1"/>
  <c r="J108" i="3" a="1"/>
  <c r="M72" i="5" a="1"/>
  <c r="K81" i="3" a="1"/>
  <c r="P53" i="4" a="1"/>
  <c r="I117" i="6" a="1"/>
  <c r="J38" i="3" a="1"/>
  <c r="K81" i="5" a="1"/>
  <c r="K60" i="3" a="1"/>
  <c r="I126" i="5" a="1"/>
  <c r="M121" i="3" a="1"/>
  <c r="M120" i="4" a="1"/>
  <c r="I22" i="6" a="1"/>
  <c r="P108" i="3" a="1"/>
  <c r="M53" i="5" a="1"/>
  <c r="J29" i="6" a="1"/>
  <c r="I51" i="6" a="1"/>
  <c r="L64" i="3" a="1"/>
  <c r="J119" i="5" a="1"/>
  <c r="L111" i="3" a="1"/>
  <c r="L103" i="4" a="1"/>
  <c r="K37" i="3" a="1"/>
  <c r="J42" i="5" a="1"/>
  <c r="I35" i="4" a="1"/>
  <c r="K102" i="4" a="1"/>
  <c r="I42" i="5" a="1"/>
  <c r="K39" i="3" a="1"/>
  <c r="J52" i="5" a="1"/>
  <c r="P34" i="6" a="1"/>
  <c r="K113" i="4" a="1"/>
  <c r="I24" i="6" a="1"/>
  <c r="L68" i="4" a="1"/>
  <c r="J39" i="6" a="1"/>
  <c r="P94" i="4" a="1"/>
  <c r="L36" i="6" a="1"/>
  <c r="I46" i="3" a="1"/>
  <c r="M98" i="5" a="1"/>
  <c r="I17" i="3" a="1"/>
  <c r="I79" i="5" a="1"/>
  <c r="P123" i="6" a="1"/>
  <c r="I117" i="3" a="1"/>
  <c r="L69" i="4" a="1"/>
  <c r="L92" i="6" a="1"/>
  <c r="J92" i="4" a="1"/>
  <c r="P89" i="5" a="1"/>
  <c r="M45" i="4" a="1"/>
  <c r="M19" i="3" a="1"/>
  <c r="P21" i="3" a="1"/>
  <c r="L19" i="3" a="1"/>
  <c r="I19" i="3" a="1"/>
  <c r="K19" i="3" a="1"/>
  <c r="K35" i="5" a="1"/>
  <c r="I18" i="3" a="1"/>
  <c r="K18" i="3" a="1"/>
  <c r="J18" i="3" a="1"/>
  <c r="P18" i="3" a="1"/>
  <c r="M18" i="3" a="1"/>
  <c r="P19" i="3" a="1"/>
  <c r="P20" i="3" a="1"/>
  <c r="L18" i="3" a="1"/>
  <c r="K34" i="5" a="1"/>
  <c r="K16" i="3" a="1"/>
  <c r="I16" i="3" a="1"/>
  <c r="J19" i="3" a="1"/>
  <c r="P2" i="3" a="1"/>
  <c r="K36" i="5" a="1"/>
  <c r="K37" i="5" a="1"/>
  <c r="J15" i="3" a="1"/>
  <c r="I15" i="3" a="1"/>
  <c r="J14" i="3" a="1"/>
  <c r="I14" i="3" a="1"/>
  <c r="J13" i="3" a="1"/>
  <c r="I13" i="3" a="1"/>
  <c r="J12" i="3" a="1"/>
  <c r="I12" i="3" a="1"/>
  <c r="J11" i="3" a="1"/>
  <c r="I11" i="3" a="1"/>
  <c r="J10" i="3" a="1"/>
  <c r="I10" i="3" a="1"/>
  <c r="J9" i="3" a="1"/>
  <c r="I9" i="3" a="1"/>
  <c r="J8" i="3" a="1"/>
  <c r="I8" i="3" a="1"/>
  <c r="J7" i="3" a="1"/>
  <c r="I7" i="3" a="1"/>
  <c r="J6" i="3" a="1"/>
  <c r="I6" i="3" a="1"/>
  <c r="J5" i="3" a="1"/>
  <c r="I5" i="3" a="1"/>
  <c r="J4" i="3" a="1"/>
  <c r="I4" i="3" a="1"/>
  <c r="J3" i="3" a="1"/>
  <c r="I3" i="3" a="1"/>
  <c r="M2" i="3" a="1"/>
  <c r="L2" i="3" a="1"/>
  <c r="J2" i="3" a="1"/>
  <c r="I2" i="3" a="1"/>
  <c r="P34" i="5" a="1"/>
  <c r="L34" i="5" a="1"/>
  <c r="M34" i="5" a="1"/>
  <c r="P35" i="5" a="1"/>
  <c r="M35" i="5" a="1"/>
  <c r="L35" i="5" a="1"/>
  <c r="L36" i="5" a="1"/>
  <c r="M36" i="5" a="1"/>
  <c r="P36" i="5" a="1"/>
  <c r="L37" i="5" a="1"/>
  <c r="P37" i="5" a="1"/>
  <c r="M37" i="5" a="1"/>
  <c r="P16" i="3" a="1"/>
  <c r="L16" i="3" a="1"/>
  <c r="M16" i="3" a="1"/>
  <c r="K25" i="6" a="1"/>
  <c r="P25" i="6" a="1"/>
  <c r="J25" i="6" a="1"/>
  <c r="I25" i="6" a="1"/>
  <c r="P26" i="6" a="1"/>
  <c r="M25" i="6" a="1"/>
  <c r="P2" i="6" a="1"/>
  <c r="L25" i="6" a="1"/>
  <c r="P27" i="6" a="1"/>
  <c r="B11" i="9" l="1"/>
  <c r="B17" i="9"/>
  <c r="B9" i="9"/>
  <c r="B12" i="9"/>
  <c r="B14" i="9"/>
  <c r="B19" i="9"/>
  <c r="B10" i="9"/>
  <c r="B13" i="9"/>
  <c r="B15" i="9"/>
  <c r="B16" i="9"/>
  <c r="B18" i="9"/>
  <c r="P27" i="6"/>
  <c r="L25" i="6"/>
  <c r="P2" i="6"/>
  <c r="M25" i="6"/>
  <c r="P26" i="6"/>
  <c r="I25" i="6"/>
  <c r="J25" i="6"/>
  <c r="P25" i="6"/>
  <c r="K25" i="6"/>
  <c r="M16" i="3"/>
  <c r="L16" i="3"/>
  <c r="P16" i="3"/>
  <c r="M37" i="5"/>
  <c r="P37" i="5"/>
  <c r="L37" i="5"/>
  <c r="P36" i="5"/>
  <c r="M36" i="5"/>
  <c r="L36" i="5"/>
  <c r="L35" i="5"/>
  <c r="M35" i="5"/>
  <c r="P35" i="5"/>
  <c r="M34" i="5"/>
  <c r="L34" i="5"/>
  <c r="P34" i="5"/>
  <c r="I2" i="3"/>
  <c r="J2" i="3"/>
  <c r="L2" i="3"/>
  <c r="M2" i="3"/>
  <c r="I3" i="3"/>
  <c r="J3" i="3"/>
  <c r="I4" i="3"/>
  <c r="J4" i="3"/>
  <c r="I5" i="3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K37" i="5"/>
  <c r="K36" i="5"/>
  <c r="P2" i="3"/>
  <c r="J19" i="3"/>
  <c r="I16" i="3"/>
  <c r="K16" i="3"/>
  <c r="K34" i="5"/>
  <c r="L18" i="3"/>
  <c r="P20" i="3"/>
  <c r="P19" i="3"/>
  <c r="M18" i="3"/>
  <c r="P18" i="3"/>
  <c r="J18" i="3"/>
  <c r="K18" i="3"/>
  <c r="I18" i="3"/>
  <c r="K35" i="5"/>
  <c r="K19" i="3"/>
  <c r="I19" i="3"/>
  <c r="L19" i="3"/>
  <c r="P21" i="3"/>
  <c r="M19" i="3"/>
  <c r="M45" i="4"/>
  <c r="P89" i="5"/>
  <c r="J92" i="4"/>
  <c r="L92" i="6"/>
  <c r="L69" i="4"/>
  <c r="I117" i="3"/>
  <c r="P123" i="6"/>
  <c r="I79" i="5"/>
  <c r="I17" i="3"/>
  <c r="M98" i="5"/>
  <c r="I46" i="3"/>
  <c r="L36" i="6"/>
  <c r="P94" i="4"/>
  <c r="J39" i="6"/>
  <c r="L68" i="4"/>
  <c r="I24" i="6"/>
  <c r="K113" i="4"/>
  <c r="P34" i="6"/>
  <c r="J52" i="5"/>
  <c r="K39" i="3"/>
  <c r="I42" i="5"/>
  <c r="K102" i="4"/>
  <c r="I35" i="4"/>
  <c r="J42" i="5"/>
  <c r="K37" i="3"/>
  <c r="L103" i="4"/>
  <c r="L111" i="3"/>
  <c r="J119" i="5"/>
  <c r="L64" i="3"/>
  <c r="I51" i="6"/>
  <c r="J29" i="6"/>
  <c r="M53" i="5"/>
  <c r="P108" i="3"/>
  <c r="I22" i="6"/>
  <c r="M120" i="4"/>
  <c r="M121" i="3"/>
  <c r="I126" i="5"/>
  <c r="K60" i="3"/>
  <c r="K81" i="5"/>
  <c r="J38" i="3"/>
  <c r="I117" i="6"/>
  <c r="P53" i="4"/>
  <c r="K81" i="3"/>
  <c r="M72" i="5"/>
  <c r="J108" i="3"/>
  <c r="J103" i="5"/>
  <c r="P125" i="5"/>
  <c r="J117" i="3"/>
  <c r="I56" i="5"/>
  <c r="M115" i="3"/>
  <c r="M121" i="5"/>
  <c r="P65" i="3"/>
  <c r="P89" i="6"/>
  <c r="L40" i="5"/>
  <c r="P58" i="4"/>
  <c r="M60" i="3"/>
  <c r="L106" i="3"/>
  <c r="I45" i="5"/>
  <c r="J65" i="3"/>
  <c r="J110" i="5"/>
  <c r="K35" i="3"/>
  <c r="P92" i="3"/>
  <c r="M41" i="6"/>
  <c r="I63" i="5"/>
  <c r="P83" i="3"/>
  <c r="I16" i="6"/>
  <c r="J13" i="4"/>
  <c r="M70" i="3"/>
  <c r="I77" i="5"/>
  <c r="M108" i="3"/>
  <c r="M87" i="5"/>
  <c r="P71" i="3"/>
  <c r="J34" i="6"/>
  <c r="J60" i="4"/>
  <c r="I116" i="3"/>
  <c r="L123" i="5"/>
  <c r="J127" i="3"/>
  <c r="I2" i="6"/>
  <c r="P76" i="5"/>
  <c r="M117" i="3"/>
  <c r="J93" i="5"/>
  <c r="M110" i="3"/>
  <c r="P35" i="6"/>
  <c r="M57" i="4"/>
  <c r="P43" i="6"/>
  <c r="I19" i="6"/>
  <c r="I113" i="3"/>
  <c r="P88" i="6"/>
  <c r="J119" i="4"/>
  <c r="K102" i="6"/>
  <c r="L55" i="4"/>
  <c r="M50" i="6"/>
  <c r="K45" i="5"/>
  <c r="M63" i="4"/>
  <c r="P111" i="6"/>
  <c r="M82" i="5"/>
  <c r="M76" i="4"/>
  <c r="L120" i="5"/>
  <c r="P81" i="3"/>
  <c r="K71" i="6"/>
  <c r="P76" i="4"/>
  <c r="L90" i="6"/>
  <c r="M31" i="3"/>
  <c r="M55" i="6"/>
  <c r="K95" i="4"/>
  <c r="I112" i="6"/>
  <c r="M97" i="5"/>
  <c r="J35" i="3"/>
  <c r="I119" i="6"/>
  <c r="P68" i="4"/>
  <c r="M83" i="3"/>
  <c r="L43" i="5"/>
  <c r="I53" i="3"/>
  <c r="I113" i="5"/>
  <c r="I122" i="3"/>
  <c r="M79" i="5"/>
  <c r="P40" i="3"/>
  <c r="K121" i="4"/>
  <c r="J57" i="6"/>
  <c r="P50" i="5"/>
  <c r="P69" i="4"/>
  <c r="P118" i="6"/>
  <c r="L59" i="4"/>
  <c r="J64" i="4"/>
  <c r="P104" i="5"/>
  <c r="M96" i="3"/>
  <c r="L75" i="5"/>
  <c r="P33" i="3"/>
  <c r="M46" i="6"/>
  <c r="M109" i="5"/>
  <c r="J106" i="3"/>
  <c r="J22" i="5"/>
  <c r="I42" i="3"/>
  <c r="L66" i="6"/>
  <c r="I117" i="5"/>
  <c r="M26" i="3"/>
  <c r="M105" i="5"/>
  <c r="L38" i="3"/>
  <c r="M57" i="6"/>
  <c r="I64" i="4"/>
  <c r="M28" i="6"/>
  <c r="P91" i="5"/>
  <c r="P2" i="4"/>
  <c r="J30" i="6"/>
  <c r="L122" i="4"/>
  <c r="I70" i="4"/>
  <c r="I50" i="5"/>
  <c r="P102" i="3"/>
  <c r="M37" i="6"/>
  <c r="L95" i="4"/>
  <c r="M90" i="6"/>
  <c r="K62" i="3"/>
  <c r="J71" i="6"/>
  <c r="I117" i="4"/>
  <c r="J112" i="6"/>
  <c r="K60" i="5"/>
  <c r="K76" i="3"/>
  <c r="I110" i="6"/>
  <c r="M93" i="4"/>
  <c r="I23" i="3"/>
  <c r="K71" i="5"/>
  <c r="J32" i="3"/>
  <c r="I104" i="5"/>
  <c r="I40" i="3"/>
  <c r="I86" i="5"/>
  <c r="I67" i="4"/>
  <c r="M126" i="3"/>
  <c r="M30" i="3"/>
  <c r="P84" i="5"/>
  <c r="L85" i="4"/>
  <c r="I87" i="6"/>
  <c r="J121" i="4"/>
  <c r="M58" i="4"/>
  <c r="P98" i="5"/>
  <c r="M101" i="3"/>
  <c r="L109" i="5"/>
  <c r="P85" i="3"/>
  <c r="M40" i="6"/>
  <c r="M94" i="5"/>
  <c r="I85" i="3"/>
  <c r="M71" i="5"/>
  <c r="M20" i="3"/>
  <c r="K119" i="6"/>
  <c r="J48" i="5"/>
  <c r="M51" i="3"/>
  <c r="P108" i="5"/>
  <c r="L115" i="3"/>
  <c r="M48" i="6"/>
  <c r="L73" i="4"/>
  <c r="P31" i="6"/>
  <c r="J3" i="4"/>
  <c r="M86" i="3"/>
  <c r="L88" i="6"/>
  <c r="J12" i="6"/>
  <c r="K42" i="4"/>
  <c r="J106" i="6"/>
  <c r="I101" i="6"/>
  <c r="M122" i="3"/>
  <c r="L73" i="5"/>
  <c r="J69" i="3"/>
  <c r="I37" i="5"/>
  <c r="I58" i="4"/>
  <c r="K17" i="3"/>
  <c r="I72" i="4"/>
  <c r="I76" i="6"/>
  <c r="L76" i="4"/>
  <c r="L99" i="6"/>
  <c r="J27" i="4"/>
  <c r="M80" i="3"/>
  <c r="M123" i="5"/>
  <c r="I45" i="3"/>
  <c r="M100" i="6"/>
  <c r="L94" i="4"/>
  <c r="J15" i="6"/>
  <c r="L79" i="5"/>
  <c r="I103" i="3"/>
  <c r="J87" i="5"/>
  <c r="M25" i="3"/>
  <c r="I98" i="6"/>
  <c r="J82" i="5"/>
  <c r="K119" i="3"/>
  <c r="K121" i="5"/>
  <c r="L47" i="3"/>
  <c r="L116" i="6"/>
  <c r="I86" i="4"/>
  <c r="K57" i="6"/>
  <c r="I99" i="6"/>
  <c r="L57" i="3"/>
  <c r="K31" i="6"/>
  <c r="J110" i="6"/>
  <c r="M92" i="5"/>
  <c r="I106" i="4"/>
  <c r="P52" i="5"/>
  <c r="L105" i="3"/>
  <c r="L81" i="4"/>
  <c r="L73" i="3"/>
  <c r="L108" i="5"/>
  <c r="I116" i="5"/>
  <c r="L32" i="3"/>
  <c r="J20" i="5"/>
  <c r="L118" i="4"/>
  <c r="P119" i="4"/>
  <c r="J9" i="6"/>
  <c r="K118" i="4"/>
  <c r="J110" i="4"/>
  <c r="P77" i="6"/>
  <c r="L91" i="3"/>
  <c r="M98" i="6"/>
  <c r="J21" i="4"/>
  <c r="K44" i="6"/>
  <c r="P92" i="4"/>
  <c r="M111" i="4"/>
  <c r="M64" i="5"/>
  <c r="J49" i="4"/>
  <c r="I60" i="6"/>
  <c r="L92" i="5"/>
  <c r="M59" i="3"/>
  <c r="K90" i="5"/>
  <c r="L88" i="4"/>
  <c r="I85" i="6"/>
  <c r="L123" i="4"/>
  <c r="L112" i="6"/>
  <c r="P48" i="3"/>
  <c r="J59" i="6"/>
  <c r="L2" i="4"/>
  <c r="J14" i="6"/>
  <c r="I90" i="5"/>
  <c r="M63" i="3"/>
  <c r="K104" i="6"/>
  <c r="L115" i="4"/>
  <c r="J109" i="3"/>
  <c r="P117" i="5"/>
  <c r="M27" i="3"/>
  <c r="P79" i="5"/>
  <c r="I71" i="3"/>
  <c r="M55" i="5"/>
  <c r="I2" i="4"/>
  <c r="P41" i="3"/>
  <c r="I114" i="3"/>
  <c r="I67" i="6"/>
  <c r="P122" i="4"/>
  <c r="J81" i="6"/>
  <c r="I20" i="4"/>
  <c r="L59" i="3"/>
  <c r="I47" i="5"/>
  <c r="J93" i="3"/>
  <c r="M91" i="6"/>
  <c r="J113" i="4"/>
  <c r="M111" i="6"/>
  <c r="K104" i="5"/>
  <c r="J71" i="3"/>
  <c r="K87" i="5"/>
  <c r="M36" i="3"/>
  <c r="I89" i="6"/>
  <c r="P49" i="5"/>
  <c r="M55" i="3"/>
  <c r="M127" i="5"/>
  <c r="L58" i="3"/>
  <c r="L107" i="6"/>
  <c r="M104" i="4"/>
  <c r="K121" i="6"/>
  <c r="P52" i="4"/>
  <c r="J126" i="5"/>
  <c r="J44" i="4"/>
  <c r="I90" i="6"/>
  <c r="J67" i="4"/>
  <c r="J80" i="5"/>
  <c r="K100" i="6"/>
  <c r="P68" i="3"/>
  <c r="K96" i="5"/>
  <c r="L49" i="3"/>
  <c r="M27" i="6"/>
  <c r="J11" i="5"/>
  <c r="J125" i="3"/>
  <c r="L71" i="5"/>
  <c r="L92" i="3"/>
  <c r="J3" i="5"/>
  <c r="J86" i="3"/>
  <c r="P58" i="5"/>
  <c r="K46" i="4"/>
  <c r="L52" i="4"/>
  <c r="P114" i="3"/>
  <c r="M42" i="6"/>
  <c r="J12" i="4"/>
  <c r="L47" i="6"/>
  <c r="J20" i="4"/>
  <c r="L45" i="3"/>
  <c r="L59" i="5"/>
  <c r="M75" i="3"/>
  <c r="K70" i="6"/>
  <c r="J104" i="4"/>
  <c r="J127" i="6"/>
  <c r="K55" i="5"/>
  <c r="I50" i="3"/>
  <c r="P102" i="5"/>
  <c r="M81" i="3"/>
  <c r="M32" i="6"/>
  <c r="I87" i="5"/>
  <c r="J79" i="3"/>
  <c r="L115" i="5"/>
  <c r="L67" i="3"/>
  <c r="L21" i="6"/>
  <c r="J6" i="4"/>
  <c r="K115" i="6"/>
  <c r="L96" i="6"/>
  <c r="I127" i="4"/>
  <c r="J90" i="6"/>
  <c r="P49" i="3"/>
  <c r="P127" i="4"/>
  <c r="P70" i="4"/>
  <c r="J14" i="4"/>
  <c r="I32" i="6"/>
  <c r="P93" i="3"/>
  <c r="M2" i="6"/>
  <c r="K83" i="4"/>
  <c r="L38" i="6"/>
  <c r="I44" i="4"/>
  <c r="M100" i="3"/>
  <c r="J74" i="5"/>
  <c r="P104" i="4"/>
  <c r="P120" i="3"/>
  <c r="K114" i="5"/>
  <c r="J90" i="3"/>
  <c r="M90" i="5"/>
  <c r="J98" i="4"/>
  <c r="K84" i="6"/>
  <c r="K62" i="4"/>
  <c r="L109" i="4"/>
  <c r="I110" i="4"/>
  <c r="K36" i="6"/>
  <c r="P83" i="4"/>
  <c r="J90" i="4"/>
  <c r="K54" i="5"/>
  <c r="L29" i="3"/>
  <c r="I37" i="6"/>
  <c r="J79" i="5"/>
  <c r="J81" i="3"/>
  <c r="J16" i="5"/>
  <c r="J110" i="3"/>
  <c r="L49" i="5"/>
  <c r="J26" i="3"/>
  <c r="M83" i="5"/>
  <c r="L51" i="4"/>
  <c r="I62" i="4"/>
  <c r="I41" i="4"/>
  <c r="M33" i="6"/>
  <c r="P67" i="4"/>
  <c r="L41" i="6"/>
  <c r="I85" i="5"/>
  <c r="J68" i="3"/>
  <c r="M59" i="5"/>
  <c r="L39" i="3"/>
  <c r="K61" i="6"/>
  <c r="I6" i="4"/>
  <c r="P108" i="6"/>
  <c r="L95" i="5"/>
  <c r="I41" i="3"/>
  <c r="J109" i="5"/>
  <c r="J46" i="3"/>
  <c r="J3" i="6"/>
  <c r="L99" i="5"/>
  <c r="L77" i="3"/>
  <c r="M26" i="6"/>
  <c r="M39" i="3"/>
  <c r="J40" i="6"/>
  <c r="P45" i="4"/>
  <c r="K60" i="6"/>
  <c r="I56" i="3"/>
  <c r="M38" i="6"/>
  <c r="I39" i="4"/>
  <c r="K77" i="4"/>
  <c r="M50" i="3"/>
  <c r="I102" i="5"/>
  <c r="P98" i="4"/>
  <c r="P73" i="5"/>
  <c r="P43" i="5"/>
  <c r="J100" i="3"/>
  <c r="M84" i="5"/>
  <c r="M67" i="4"/>
  <c r="L84" i="6"/>
  <c r="I84" i="4"/>
  <c r="M103" i="5"/>
  <c r="J107" i="4"/>
  <c r="P105" i="6"/>
  <c r="L102" i="4"/>
  <c r="J70" i="3"/>
  <c r="K124" i="5"/>
  <c r="J84" i="3"/>
  <c r="J77" i="6"/>
  <c r="M88" i="5"/>
  <c r="L108" i="3"/>
  <c r="I23" i="5"/>
  <c r="L107" i="3"/>
  <c r="M49" i="5"/>
  <c r="J121" i="3"/>
  <c r="P123" i="5"/>
  <c r="K57" i="5"/>
  <c r="I18" i="4"/>
  <c r="L125" i="3"/>
  <c r="P76" i="6"/>
  <c r="J74" i="4"/>
  <c r="I57" i="6"/>
  <c r="I70" i="5"/>
  <c r="M34" i="3"/>
  <c r="J75" i="5"/>
  <c r="J113" i="3"/>
  <c r="L101" i="6"/>
  <c r="L58" i="4"/>
  <c r="J75" i="6"/>
  <c r="K123" i="5"/>
  <c r="J17" i="3"/>
  <c r="I97" i="5"/>
  <c r="P77" i="3"/>
  <c r="M52" i="6"/>
  <c r="M99" i="5"/>
  <c r="J111" i="3"/>
  <c r="L51" i="6"/>
  <c r="P50" i="3"/>
  <c r="J74" i="6"/>
  <c r="I52" i="4"/>
  <c r="K106" i="4"/>
  <c r="M30" i="6"/>
  <c r="M77" i="5"/>
  <c r="J105" i="4"/>
  <c r="J99" i="3"/>
  <c r="J50" i="5"/>
  <c r="K43" i="3"/>
  <c r="K106" i="5"/>
  <c r="K89" i="4"/>
  <c r="L78" i="6"/>
  <c r="J124" i="4"/>
  <c r="P57" i="5"/>
  <c r="M116" i="4"/>
  <c r="I106" i="6"/>
  <c r="K47" i="4"/>
  <c r="M79" i="3"/>
  <c r="P69" i="5"/>
  <c r="P96" i="3"/>
  <c r="M89" i="6"/>
  <c r="J61" i="5"/>
  <c r="M119" i="3"/>
  <c r="K39" i="5"/>
  <c r="L22" i="3"/>
  <c r="L77" i="5"/>
  <c r="K125" i="3"/>
  <c r="P81" i="5"/>
  <c r="K125" i="5"/>
  <c r="P48" i="4"/>
  <c r="K72" i="3"/>
  <c r="J83" i="6"/>
  <c r="K74" i="4"/>
  <c r="L69" i="6"/>
  <c r="P54" i="5"/>
  <c r="J94" i="3"/>
  <c r="L81" i="5"/>
  <c r="K85" i="3"/>
  <c r="P110" i="6"/>
  <c r="L92" i="4"/>
  <c r="J69" i="6"/>
  <c r="K117" i="5"/>
  <c r="L123" i="3"/>
  <c r="I125" i="6"/>
  <c r="P117" i="3"/>
  <c r="J68" i="6"/>
  <c r="J115" i="5"/>
  <c r="K86" i="3"/>
  <c r="L42" i="6"/>
  <c r="P100" i="3"/>
  <c r="M86" i="6"/>
  <c r="K65" i="4"/>
  <c r="J88" i="5"/>
  <c r="M126" i="6"/>
  <c r="M51" i="5"/>
  <c r="J33" i="6"/>
  <c r="J17" i="4"/>
  <c r="J26" i="6"/>
  <c r="P66" i="4"/>
  <c r="K106" i="6"/>
  <c r="M53" i="4"/>
  <c r="K110" i="5"/>
  <c r="J89" i="4"/>
  <c r="J75" i="4"/>
  <c r="K103" i="3"/>
  <c r="M124" i="5"/>
  <c r="P94" i="3"/>
  <c r="K111" i="6"/>
  <c r="L64" i="5"/>
  <c r="K50" i="3"/>
  <c r="I51" i="5"/>
  <c r="M124" i="3"/>
  <c r="M114" i="5"/>
  <c r="M107" i="3"/>
  <c r="I10" i="5"/>
  <c r="K116" i="5"/>
  <c r="L63" i="5"/>
  <c r="K65" i="3"/>
  <c r="K123" i="6"/>
  <c r="L114" i="4"/>
  <c r="J109" i="4"/>
  <c r="L113" i="5"/>
  <c r="M85" i="3"/>
  <c r="K69" i="5"/>
  <c r="P70" i="3"/>
  <c r="I28" i="6"/>
  <c r="P101" i="4"/>
  <c r="M81" i="6"/>
  <c r="I16" i="5"/>
  <c r="I111" i="3"/>
  <c r="J122" i="6"/>
  <c r="P67" i="3"/>
  <c r="J62" i="6"/>
  <c r="L121" i="5"/>
  <c r="I33" i="3"/>
  <c r="K110" i="6"/>
  <c r="P25" i="3"/>
  <c r="M80" i="6"/>
  <c r="K99" i="4"/>
  <c r="L54" i="5"/>
  <c r="J119" i="6"/>
  <c r="K100" i="4"/>
  <c r="I5" i="6"/>
  <c r="L60" i="4"/>
  <c r="P52" i="3"/>
  <c r="L44" i="6"/>
  <c r="P87" i="6"/>
  <c r="I54" i="6"/>
  <c r="K116" i="4"/>
  <c r="P126" i="4"/>
  <c r="J10" i="5"/>
  <c r="J16" i="4"/>
  <c r="J84" i="5"/>
  <c r="J116" i="3"/>
  <c r="P72" i="6"/>
  <c r="I123" i="5"/>
  <c r="P41" i="4"/>
  <c r="M48" i="3"/>
  <c r="M73" i="5"/>
  <c r="K71" i="4"/>
  <c r="P63" i="3"/>
  <c r="K57" i="4"/>
  <c r="J38" i="6"/>
  <c r="J10" i="4"/>
  <c r="I82" i="4"/>
  <c r="J23" i="4"/>
  <c r="J114" i="3"/>
  <c r="P71" i="5"/>
  <c r="K56" i="4"/>
  <c r="I119" i="3"/>
  <c r="J78" i="5"/>
  <c r="K47" i="3"/>
  <c r="P63" i="6"/>
  <c r="K117" i="4"/>
  <c r="K127" i="5"/>
  <c r="L41" i="4"/>
  <c r="I6" i="5"/>
  <c r="P110" i="4"/>
  <c r="P127" i="6"/>
  <c r="I63" i="4"/>
  <c r="M53" i="3"/>
  <c r="I11" i="5"/>
  <c r="J125" i="4"/>
  <c r="M77" i="6"/>
  <c r="I48" i="5"/>
  <c r="L94" i="3"/>
  <c r="P78" i="6"/>
  <c r="I118" i="3"/>
  <c r="I124" i="5"/>
  <c r="L96" i="3"/>
  <c r="J35" i="5"/>
  <c r="P88" i="5"/>
  <c r="J2" i="5"/>
  <c r="L35" i="3"/>
  <c r="I30" i="6"/>
  <c r="I7" i="4"/>
  <c r="J115" i="3"/>
  <c r="P119" i="5"/>
  <c r="J87" i="3"/>
  <c r="K103" i="5"/>
  <c r="P72" i="3"/>
  <c r="L40" i="6"/>
  <c r="I102" i="4"/>
  <c r="J97" i="6"/>
  <c r="L65" i="5"/>
  <c r="I57" i="3"/>
  <c r="J113" i="6"/>
  <c r="I116" i="4"/>
  <c r="J16" i="6"/>
  <c r="K109" i="5"/>
  <c r="I44" i="3"/>
  <c r="K101" i="6"/>
  <c r="J8" i="4"/>
  <c r="M34" i="6"/>
  <c r="J127" i="4"/>
  <c r="M125" i="5"/>
  <c r="P86" i="3"/>
  <c r="J65" i="4"/>
  <c r="J39" i="4"/>
  <c r="K105" i="4"/>
  <c r="K74" i="3"/>
  <c r="K104" i="4"/>
  <c r="I124" i="4"/>
  <c r="M119" i="4"/>
  <c r="I6" i="6"/>
  <c r="I27" i="5"/>
  <c r="I122" i="5"/>
  <c r="M80" i="5"/>
  <c r="P78" i="4"/>
  <c r="I81" i="3"/>
  <c r="J45" i="3"/>
  <c r="K123" i="4"/>
  <c r="I100" i="6"/>
  <c r="P120" i="5"/>
  <c r="I97" i="3"/>
  <c r="I40" i="6"/>
  <c r="I8" i="5"/>
  <c r="L51" i="3"/>
  <c r="P67" i="6"/>
  <c r="I34" i="5"/>
  <c r="K50" i="4"/>
  <c r="L112" i="4"/>
  <c r="J18" i="5"/>
  <c r="L111" i="4"/>
  <c r="P88" i="4"/>
  <c r="J91" i="4"/>
  <c r="K38" i="6"/>
  <c r="I78" i="4"/>
  <c r="J78" i="4"/>
  <c r="K63" i="4"/>
  <c r="K89" i="3"/>
  <c r="P65" i="5"/>
  <c r="L96" i="4"/>
  <c r="L86" i="3"/>
  <c r="L84" i="5"/>
  <c r="K98" i="3"/>
  <c r="P54" i="6"/>
  <c r="M123" i="4"/>
  <c r="J88" i="3"/>
  <c r="L75" i="4"/>
  <c r="M104" i="5"/>
  <c r="M66" i="4"/>
  <c r="L84" i="3"/>
  <c r="I97" i="4"/>
  <c r="J24" i="3"/>
  <c r="P112" i="6"/>
  <c r="L66" i="4"/>
  <c r="M31" i="6"/>
  <c r="J37" i="5"/>
  <c r="M123" i="3"/>
  <c r="K122" i="6"/>
  <c r="M56" i="3"/>
  <c r="L111" i="5"/>
  <c r="L50" i="3"/>
  <c r="L41" i="5"/>
  <c r="J92" i="5"/>
  <c r="L122" i="5"/>
  <c r="M87" i="3"/>
  <c r="K21" i="6"/>
  <c r="K53" i="4"/>
  <c r="M61" i="3"/>
  <c r="P70" i="5"/>
  <c r="J41" i="3"/>
  <c r="L94" i="6"/>
  <c r="P45" i="3"/>
  <c r="L34" i="6"/>
  <c r="J36" i="4"/>
  <c r="M79" i="4"/>
  <c r="I81" i="5"/>
  <c r="J25" i="3"/>
  <c r="P91" i="6"/>
  <c r="M112" i="4"/>
  <c r="L24" i="6"/>
  <c r="J8" i="6"/>
  <c r="M45" i="3"/>
  <c r="K33" i="6"/>
  <c r="P57" i="4"/>
  <c r="L22" i="6"/>
  <c r="P65" i="4"/>
  <c r="P42" i="5"/>
  <c r="L49" i="4"/>
  <c r="I3" i="5"/>
  <c r="P54" i="3"/>
  <c r="I93" i="3"/>
  <c r="M63" i="5"/>
  <c r="M84" i="6"/>
  <c r="J24" i="4"/>
  <c r="P39" i="6"/>
  <c r="K61" i="5"/>
  <c r="K42" i="3"/>
  <c r="J24" i="5"/>
  <c r="I65" i="4"/>
  <c r="I28" i="5"/>
  <c r="K124" i="4"/>
  <c r="I105" i="3"/>
  <c r="L57" i="5"/>
  <c r="K68" i="3"/>
  <c r="J72" i="5"/>
  <c r="I29" i="4"/>
  <c r="J20" i="3"/>
  <c r="L78" i="5"/>
  <c r="I89" i="3"/>
  <c r="L26" i="6"/>
  <c r="J56" i="4"/>
  <c r="K21" i="3"/>
  <c r="K103" i="4"/>
  <c r="J120" i="5"/>
  <c r="M40" i="4"/>
  <c r="J83" i="3"/>
  <c r="P124" i="4"/>
  <c r="M72" i="3"/>
  <c r="P103" i="6"/>
  <c r="M125" i="4"/>
  <c r="J47" i="6"/>
  <c r="J31" i="5"/>
  <c r="L100" i="3"/>
  <c r="K113" i="6"/>
  <c r="L114" i="3"/>
  <c r="I29" i="5"/>
  <c r="I127" i="3"/>
  <c r="I17" i="5"/>
  <c r="J43" i="5"/>
  <c r="I95" i="5"/>
  <c r="K59" i="3"/>
  <c r="P126" i="6"/>
  <c r="I115" i="4"/>
  <c r="P62" i="3"/>
  <c r="M95" i="5"/>
  <c r="J53" i="3"/>
  <c r="L85" i="6"/>
  <c r="K88" i="4"/>
  <c r="K24" i="6"/>
  <c r="J53" i="4"/>
  <c r="J73" i="3"/>
  <c r="J81" i="5"/>
  <c r="J22" i="3"/>
  <c r="P82" i="6"/>
  <c r="M122" i="4"/>
  <c r="I21" i="6"/>
  <c r="K45" i="6"/>
  <c r="M17" i="3"/>
  <c r="I34" i="6"/>
  <c r="K67" i="4"/>
  <c r="M22" i="6"/>
  <c r="K78" i="4"/>
  <c r="M57" i="5"/>
  <c r="M111" i="3"/>
  <c r="K94" i="5"/>
  <c r="L62" i="6"/>
  <c r="I124" i="3"/>
  <c r="K79" i="3"/>
  <c r="K90" i="6"/>
  <c r="J32" i="6"/>
  <c r="M96" i="4"/>
  <c r="J60" i="6"/>
  <c r="P38" i="4"/>
  <c r="L125" i="5"/>
  <c r="I33" i="4"/>
  <c r="J72" i="3"/>
  <c r="I115" i="3"/>
  <c r="I37" i="3"/>
  <c r="L97" i="5"/>
  <c r="J114" i="5"/>
  <c r="M74" i="4"/>
  <c r="I100" i="3"/>
  <c r="I119" i="5"/>
  <c r="I91" i="3"/>
  <c r="P94" i="6"/>
  <c r="L67" i="4"/>
  <c r="P28" i="6"/>
  <c r="J65" i="5"/>
  <c r="J104" i="3"/>
  <c r="M116" i="6"/>
  <c r="K32" i="3"/>
  <c r="J29" i="5"/>
  <c r="L43" i="3"/>
  <c r="K63" i="5"/>
  <c r="I71" i="5"/>
  <c r="K98" i="5"/>
  <c r="P123" i="3"/>
  <c r="P80" i="6"/>
  <c r="J33" i="4"/>
  <c r="I48" i="3"/>
  <c r="M89" i="5"/>
  <c r="J61" i="3"/>
  <c r="J64" i="6"/>
  <c r="I107" i="4"/>
  <c r="L105" i="6"/>
  <c r="I81" i="4"/>
  <c r="J102" i="4"/>
  <c r="M93" i="5"/>
  <c r="I38" i="3"/>
  <c r="I123" i="6"/>
  <c r="K58" i="4"/>
  <c r="K127" i="6"/>
  <c r="L125" i="6"/>
  <c r="P89" i="3"/>
  <c r="I68" i="6"/>
  <c r="P79" i="4"/>
  <c r="P38" i="6"/>
  <c r="P93" i="4"/>
  <c r="I21" i="5"/>
  <c r="I100" i="4"/>
  <c r="L30" i="6"/>
  <c r="P30" i="3"/>
  <c r="I78" i="6"/>
  <c r="P100" i="5"/>
  <c r="I113" i="4"/>
  <c r="K46" i="5"/>
  <c r="M90" i="4"/>
  <c r="K24" i="3"/>
  <c r="M110" i="6"/>
  <c r="P77" i="4"/>
  <c r="I96" i="5"/>
  <c r="M124" i="4"/>
  <c r="P88" i="3"/>
  <c r="J68" i="5"/>
  <c r="I112" i="4"/>
  <c r="J36" i="3"/>
  <c r="J71" i="4"/>
  <c r="P66" i="3"/>
  <c r="I17" i="4"/>
  <c r="L119" i="3"/>
  <c r="J64" i="5"/>
  <c r="I43" i="3"/>
  <c r="P87" i="5"/>
  <c r="P50" i="4"/>
  <c r="L112" i="3"/>
  <c r="P41" i="6"/>
  <c r="I26" i="3"/>
  <c r="P113" i="6"/>
  <c r="L47" i="4"/>
  <c r="J25" i="4"/>
  <c r="M48" i="5"/>
  <c r="I19" i="5"/>
  <c r="K96" i="4"/>
  <c r="L68" i="3"/>
  <c r="J70" i="5"/>
  <c r="M23" i="3"/>
  <c r="J98" i="6"/>
  <c r="M107" i="4"/>
  <c r="K124" i="6"/>
  <c r="K102" i="5"/>
  <c r="M47" i="3"/>
  <c r="I43" i="6"/>
  <c r="K123" i="3"/>
  <c r="J13" i="5"/>
  <c r="M112" i="3"/>
  <c r="L54" i="6"/>
  <c r="I65" i="5"/>
  <c r="K49" i="5"/>
  <c r="P105" i="3"/>
  <c r="K93" i="6"/>
  <c r="M127" i="4"/>
  <c r="J61" i="4"/>
  <c r="L117" i="5"/>
  <c r="I25" i="3"/>
  <c r="J55" i="6"/>
  <c r="I98" i="4"/>
  <c r="I121" i="6"/>
  <c r="I30" i="4"/>
  <c r="I59" i="3"/>
  <c r="I103" i="5"/>
  <c r="L27" i="3"/>
  <c r="J91" i="6"/>
  <c r="I80" i="4"/>
  <c r="M93" i="6"/>
  <c r="J104" i="6"/>
  <c r="P99" i="3"/>
  <c r="L80" i="6"/>
  <c r="L98" i="4"/>
  <c r="J115" i="6"/>
  <c r="J100" i="4"/>
  <c r="J28" i="5"/>
  <c r="M44" i="5"/>
  <c r="I36" i="3"/>
  <c r="P32" i="3"/>
  <c r="M54" i="3"/>
  <c r="M108" i="6"/>
  <c r="L40" i="3"/>
  <c r="L101" i="3"/>
  <c r="M74" i="6"/>
  <c r="P97" i="4"/>
  <c r="M44" i="6"/>
  <c r="L63" i="3"/>
  <c r="M62" i="6"/>
  <c r="P101" i="6"/>
  <c r="M42" i="3"/>
  <c r="I45" i="4"/>
  <c r="J43" i="4"/>
  <c r="K32" i="6"/>
  <c r="I110" i="3"/>
  <c r="K40" i="5"/>
  <c r="M62" i="4"/>
  <c r="K106" i="3"/>
  <c r="K45" i="3"/>
  <c r="J66" i="5"/>
  <c r="J100" i="5"/>
  <c r="J6" i="5"/>
  <c r="P47" i="3"/>
  <c r="K108" i="6"/>
  <c r="I14" i="5"/>
  <c r="J79" i="4"/>
  <c r="K62" i="6"/>
  <c r="K88" i="5"/>
  <c r="I11" i="4"/>
  <c r="L124" i="3"/>
  <c r="K108" i="5"/>
  <c r="L124" i="4"/>
  <c r="J97" i="3"/>
  <c r="L77" i="4"/>
  <c r="I73" i="4"/>
  <c r="J57" i="4"/>
  <c r="L24" i="3"/>
  <c r="K101" i="5"/>
  <c r="K94" i="3"/>
  <c r="P115" i="6"/>
  <c r="M75" i="4"/>
  <c r="I29" i="3"/>
  <c r="M54" i="6"/>
  <c r="P23" i="3"/>
  <c r="P23" i="6"/>
  <c r="J29" i="4"/>
  <c r="L41" i="3"/>
  <c r="J104" i="5"/>
  <c r="L68" i="5"/>
  <c r="J41" i="4"/>
  <c r="M67" i="3"/>
  <c r="M122" i="5"/>
  <c r="I104" i="3"/>
  <c r="P30" i="6"/>
  <c r="I125" i="4"/>
  <c r="L124" i="6"/>
  <c r="M108" i="5"/>
  <c r="K102" i="3"/>
  <c r="K49" i="6"/>
  <c r="I94" i="3"/>
  <c r="J57" i="5"/>
  <c r="J37" i="3"/>
  <c r="L45" i="6"/>
  <c r="P92" i="5"/>
  <c r="J77" i="5"/>
  <c r="P122" i="3"/>
  <c r="I75" i="6"/>
  <c r="I14" i="4"/>
  <c r="J66" i="3"/>
  <c r="P40" i="5"/>
  <c r="L109" i="3"/>
  <c r="K95" i="6"/>
  <c r="I12" i="4"/>
  <c r="M99" i="6"/>
  <c r="J32" i="4"/>
  <c r="L102" i="3"/>
  <c r="P90" i="5"/>
  <c r="P35" i="3"/>
  <c r="L46" i="6"/>
  <c r="I114" i="4"/>
  <c r="M87" i="6"/>
  <c r="J95" i="6"/>
  <c r="P127" i="3"/>
  <c r="L74" i="6"/>
  <c r="J2" i="4"/>
  <c r="J109" i="6"/>
  <c r="I82" i="5"/>
  <c r="L74" i="5"/>
  <c r="M79" i="6"/>
  <c r="J45" i="4"/>
  <c r="P36" i="3"/>
  <c r="L72" i="6"/>
  <c r="I65" i="3"/>
  <c r="J84" i="4"/>
  <c r="I55" i="6"/>
  <c r="J34" i="3"/>
  <c r="M83" i="4"/>
  <c r="L82" i="4"/>
  <c r="I30" i="5"/>
  <c r="L70" i="3"/>
  <c r="M117" i="4"/>
  <c r="K76" i="4"/>
  <c r="K51" i="5"/>
  <c r="M69" i="3"/>
  <c r="L58" i="5"/>
  <c r="J43" i="3"/>
  <c r="K42" i="6"/>
  <c r="P72" i="5"/>
  <c r="M43" i="3"/>
  <c r="M45" i="6"/>
  <c r="P80" i="3"/>
  <c r="L43" i="6"/>
  <c r="K69" i="4"/>
  <c r="I72" i="3"/>
  <c r="J27" i="5"/>
  <c r="P77" i="5"/>
  <c r="I69" i="4"/>
  <c r="M58" i="3"/>
  <c r="I46" i="5"/>
  <c r="I90" i="3"/>
  <c r="I71" i="6"/>
  <c r="J9" i="4"/>
  <c r="L118" i="6"/>
  <c r="P66" i="5"/>
  <c r="P58" i="3"/>
  <c r="L89" i="6"/>
  <c r="J98" i="3"/>
  <c r="K48" i="6"/>
  <c r="K75" i="3"/>
  <c r="M125" i="6"/>
  <c r="L94" i="5"/>
  <c r="J71" i="5"/>
  <c r="M60" i="4"/>
  <c r="K41" i="6"/>
  <c r="P78" i="5"/>
  <c r="L37" i="3"/>
  <c r="K53" i="5"/>
  <c r="L52" i="3"/>
  <c r="M101" i="6"/>
  <c r="K52" i="4"/>
  <c r="I69" i="6"/>
  <c r="M44" i="4"/>
  <c r="K27" i="3"/>
  <c r="P124" i="5"/>
  <c r="P95" i="3"/>
  <c r="I62" i="6"/>
  <c r="K120" i="4"/>
  <c r="J103" i="6"/>
  <c r="I36" i="6"/>
  <c r="I8" i="4"/>
  <c r="L28" i="6"/>
  <c r="K39" i="4"/>
  <c r="M121" i="6"/>
  <c r="I2" i="5"/>
  <c r="J127" i="5"/>
  <c r="K114" i="6"/>
  <c r="J112" i="4"/>
  <c r="J77" i="4"/>
  <c r="K54" i="6"/>
  <c r="J50" i="6"/>
  <c r="I67" i="5"/>
  <c r="P115" i="5"/>
  <c r="J74" i="3"/>
  <c r="L39" i="4"/>
  <c r="J79" i="6"/>
  <c r="I95" i="4"/>
  <c r="K50" i="6"/>
  <c r="J59" i="5"/>
  <c r="M91" i="5"/>
  <c r="J126" i="3"/>
  <c r="I38" i="5"/>
  <c r="P44" i="4"/>
  <c r="M114" i="3"/>
  <c r="I4" i="4"/>
  <c r="K98" i="4"/>
  <c r="K119" i="5"/>
  <c r="L117" i="3"/>
  <c r="I74" i="5"/>
  <c r="L25" i="3"/>
  <c r="I48" i="6"/>
  <c r="L2" i="5"/>
  <c r="M94" i="3"/>
  <c r="M119" i="6"/>
  <c r="P121" i="3"/>
  <c r="J65" i="6"/>
  <c r="J97" i="4"/>
  <c r="J29" i="3"/>
  <c r="L98" i="5"/>
  <c r="P111" i="5"/>
  <c r="P56" i="4"/>
  <c r="J22" i="4"/>
  <c r="I120" i="5"/>
  <c r="L80" i="3"/>
  <c r="L83" i="6"/>
  <c r="I49" i="4"/>
  <c r="J17" i="6"/>
  <c r="I92" i="5"/>
  <c r="P78" i="3"/>
  <c r="I105" i="6"/>
  <c r="K127" i="3"/>
  <c r="M29" i="6"/>
  <c r="I108" i="3"/>
  <c r="M72" i="6"/>
  <c r="P126" i="5"/>
  <c r="I99" i="5"/>
  <c r="K79" i="4"/>
  <c r="K35" i="6"/>
  <c r="P63" i="5"/>
  <c r="M125" i="3"/>
  <c r="L53" i="5"/>
  <c r="P109" i="3"/>
  <c r="P21" i="6"/>
  <c r="K86" i="4"/>
  <c r="I63" i="6"/>
  <c r="I54" i="4"/>
  <c r="L82" i="3"/>
  <c r="I116" i="6"/>
  <c r="P27" i="3"/>
  <c r="I56" i="6"/>
  <c r="L120" i="4"/>
  <c r="M115" i="6"/>
  <c r="P61" i="6"/>
  <c r="M48" i="4"/>
  <c r="J10" i="6"/>
  <c r="I21" i="4"/>
  <c r="P118" i="4"/>
  <c r="L119" i="5"/>
  <c r="J73" i="5"/>
  <c r="J42" i="6"/>
  <c r="M124" i="6"/>
  <c r="J114" i="6"/>
  <c r="I93" i="4"/>
  <c r="I53" i="5"/>
  <c r="M113" i="3"/>
  <c r="L86" i="5"/>
  <c r="M55" i="4"/>
  <c r="K76" i="6"/>
  <c r="I71" i="4"/>
  <c r="P43" i="3"/>
  <c r="I84" i="3"/>
  <c r="J99" i="4"/>
  <c r="L104" i="4"/>
  <c r="K28" i="3"/>
  <c r="I32" i="5"/>
  <c r="I39" i="5"/>
  <c r="I22" i="3"/>
  <c r="P71" i="4"/>
  <c r="I120" i="4"/>
  <c r="I58" i="5"/>
  <c r="L55" i="3"/>
  <c r="I68" i="5"/>
  <c r="L76" i="3"/>
  <c r="K107" i="6"/>
  <c r="M113" i="5"/>
  <c r="I49" i="3"/>
  <c r="L104" i="6"/>
  <c r="I79" i="4"/>
  <c r="L31" i="6"/>
  <c r="K91" i="5"/>
  <c r="K48" i="3"/>
  <c r="I114" i="5"/>
  <c r="P105" i="5"/>
  <c r="P90" i="4"/>
  <c r="K20" i="3"/>
  <c r="I88" i="5"/>
  <c r="P51" i="3"/>
  <c r="J105" i="6"/>
  <c r="J62" i="4"/>
  <c r="M81" i="4"/>
  <c r="I12" i="5"/>
  <c r="P76" i="3"/>
  <c r="M123" i="6"/>
  <c r="K53" i="3"/>
  <c r="L119" i="6"/>
  <c r="I55" i="3"/>
  <c r="K55" i="6"/>
  <c r="I7" i="5"/>
  <c r="P45" i="5"/>
  <c r="K70" i="4"/>
  <c r="P50" i="6"/>
  <c r="M45" i="5"/>
  <c r="J57" i="3"/>
  <c r="I69" i="5"/>
  <c r="P91" i="3"/>
  <c r="K34" i="6"/>
  <c r="M92" i="4"/>
  <c r="L75" i="6"/>
  <c r="L103" i="5"/>
  <c r="I109" i="3"/>
  <c r="I107" i="6"/>
  <c r="P109" i="4"/>
  <c r="I10" i="6"/>
  <c r="J19" i="4"/>
  <c r="J118" i="3"/>
  <c r="K74" i="6"/>
  <c r="L100" i="4"/>
  <c r="J4" i="6"/>
  <c r="J59" i="4"/>
  <c r="I125" i="3"/>
  <c r="P2" i="5"/>
  <c r="J48" i="6"/>
  <c r="M102" i="3"/>
  <c r="J17" i="5"/>
  <c r="I84" i="6"/>
  <c r="J91" i="3"/>
  <c r="P97" i="3"/>
  <c r="P55" i="5"/>
  <c r="J70" i="6"/>
  <c r="L33" i="6"/>
  <c r="I26" i="5"/>
  <c r="I18" i="5"/>
  <c r="J51" i="6"/>
  <c r="J123" i="3"/>
  <c r="I107" i="5"/>
  <c r="J118" i="4"/>
  <c r="M77" i="4"/>
  <c r="J95" i="5"/>
  <c r="M73" i="3"/>
  <c r="P95" i="5"/>
  <c r="M106" i="3"/>
  <c r="J92" i="6"/>
  <c r="K86" i="5"/>
  <c r="L56" i="3"/>
  <c r="M104" i="6"/>
  <c r="K82" i="4"/>
  <c r="P32" i="6"/>
  <c r="L42" i="5"/>
  <c r="M32" i="3"/>
  <c r="I108" i="5"/>
  <c r="J112" i="5"/>
  <c r="M115" i="4"/>
  <c r="J5" i="4"/>
  <c r="L126" i="5"/>
  <c r="P53" i="3"/>
  <c r="L71" i="6"/>
  <c r="J96" i="4"/>
  <c r="J77" i="3"/>
  <c r="L91" i="5"/>
  <c r="J88" i="4"/>
  <c r="I93" i="6"/>
  <c r="M89" i="3"/>
  <c r="P125" i="6"/>
  <c r="L120" i="3"/>
  <c r="M61" i="6"/>
  <c r="K41" i="5"/>
  <c r="J7" i="5"/>
  <c r="I68" i="4"/>
  <c r="K63" i="6"/>
  <c r="K107" i="5"/>
  <c r="K107" i="3"/>
  <c r="K75" i="5"/>
  <c r="P124" i="3"/>
  <c r="K28" i="6"/>
  <c r="P95" i="4"/>
  <c r="I91" i="6"/>
  <c r="L88" i="5"/>
  <c r="K56" i="3"/>
  <c r="M82" i="6"/>
  <c r="L125" i="4"/>
  <c r="I127" i="6"/>
  <c r="M71" i="4"/>
  <c r="I96" i="4"/>
  <c r="K68" i="6"/>
  <c r="M70" i="4"/>
  <c r="I88" i="6"/>
  <c r="J93" i="4"/>
  <c r="I42" i="4"/>
  <c r="K95" i="5"/>
  <c r="I73" i="6"/>
  <c r="P106" i="4"/>
  <c r="L107" i="5"/>
  <c r="J85" i="4"/>
  <c r="J9" i="5"/>
  <c r="I59" i="4"/>
  <c r="J84" i="6"/>
  <c r="P121" i="5"/>
  <c r="P46" i="5"/>
  <c r="P44" i="3"/>
  <c r="J126" i="4"/>
  <c r="J45" i="6"/>
  <c r="J99" i="5"/>
  <c r="L67" i="5"/>
  <c r="K38" i="5"/>
  <c r="J102" i="3"/>
  <c r="P48" i="6"/>
  <c r="K43" i="4"/>
  <c r="M109" i="6"/>
  <c r="M38" i="5"/>
  <c r="P60" i="5"/>
  <c r="K71" i="3"/>
  <c r="J26" i="5"/>
  <c r="M42" i="5"/>
  <c r="L33" i="3"/>
  <c r="M72" i="4"/>
  <c r="I64" i="3"/>
  <c r="K52" i="5"/>
  <c r="J92" i="3"/>
  <c r="K65" i="5"/>
  <c r="M21" i="3"/>
  <c r="K92" i="6"/>
  <c r="K80" i="5"/>
  <c r="K22" i="3"/>
  <c r="J2" i="6"/>
  <c r="L79" i="4"/>
  <c r="I124" i="6"/>
  <c r="I98" i="5"/>
  <c r="P22" i="3"/>
  <c r="P41" i="5"/>
  <c r="J106" i="5"/>
  <c r="P112" i="5"/>
  <c r="I30" i="3"/>
  <c r="M43" i="5"/>
  <c r="I119" i="4"/>
  <c r="I41" i="6"/>
  <c r="P117" i="4"/>
  <c r="K41" i="3"/>
  <c r="P44" i="5"/>
  <c r="L45" i="4"/>
  <c r="I47" i="6"/>
  <c r="K51" i="3"/>
  <c r="J49" i="6"/>
  <c r="P28" i="3"/>
  <c r="P104" i="6"/>
  <c r="M47" i="5"/>
  <c r="I35" i="5"/>
  <c r="K108" i="4"/>
  <c r="I31" i="4"/>
  <c r="M110" i="5"/>
  <c r="L90" i="3"/>
  <c r="J63" i="5"/>
  <c r="J82" i="4"/>
  <c r="K30" i="6"/>
  <c r="K94" i="4"/>
  <c r="L93" i="4"/>
  <c r="K73" i="5"/>
  <c r="I86" i="3"/>
  <c r="M73" i="6"/>
  <c r="L116" i="4"/>
  <c r="K51" i="6"/>
  <c r="L99" i="4"/>
  <c r="P87" i="3"/>
  <c r="K22" i="6"/>
  <c r="K92" i="4"/>
  <c r="I109" i="6"/>
  <c r="I121" i="4"/>
  <c r="K124" i="3"/>
  <c r="I36" i="5"/>
  <c r="I64" i="6"/>
  <c r="I15" i="4"/>
  <c r="L54" i="3"/>
  <c r="L76" i="5"/>
  <c r="P105" i="4"/>
  <c r="L83" i="4"/>
  <c r="K56" i="5"/>
  <c r="J18" i="6"/>
  <c r="P24" i="3"/>
  <c r="M106" i="5"/>
  <c r="K54" i="3"/>
  <c r="I54" i="5"/>
  <c r="J15" i="4"/>
  <c r="I4" i="5"/>
  <c r="K113" i="3"/>
  <c r="J120" i="6"/>
  <c r="J108" i="5"/>
  <c r="P119" i="3"/>
  <c r="K37" i="6"/>
  <c r="I92" i="4"/>
  <c r="J124" i="6"/>
  <c r="J39" i="5"/>
  <c r="I118" i="4"/>
  <c r="K62" i="5"/>
  <c r="P127" i="5"/>
  <c r="I64" i="5"/>
  <c r="M84" i="3"/>
  <c r="P83" i="5"/>
  <c r="K122" i="4"/>
  <c r="P24" i="6"/>
  <c r="M59" i="4"/>
  <c r="L121" i="3"/>
  <c r="J125" i="6"/>
  <c r="J30" i="4"/>
  <c r="L59" i="6"/>
  <c r="I106" i="3"/>
  <c r="L55" i="6"/>
  <c r="P60" i="3"/>
  <c r="K117" i="6"/>
  <c r="J23" i="5"/>
  <c r="L47" i="5"/>
  <c r="P42" i="4"/>
  <c r="I120" i="3"/>
  <c r="M61" i="5"/>
  <c r="J89" i="3"/>
  <c r="J97" i="5"/>
  <c r="P100" i="4"/>
  <c r="K99" i="6"/>
  <c r="I47" i="4"/>
  <c r="K44" i="3"/>
  <c r="J98" i="5"/>
  <c r="L88" i="3"/>
  <c r="P116" i="6"/>
  <c r="J52" i="4"/>
  <c r="J121" i="6"/>
  <c r="J38" i="4"/>
  <c r="J122" i="4"/>
  <c r="I4" i="6"/>
  <c r="K126" i="4"/>
  <c r="I103" i="6"/>
  <c r="M56" i="4"/>
  <c r="I126" i="3"/>
  <c r="K42" i="5"/>
  <c r="J11" i="6"/>
  <c r="J125" i="5"/>
  <c r="M49" i="6"/>
  <c r="K101" i="3"/>
  <c r="I85" i="4"/>
  <c r="P92" i="6"/>
  <c r="M49" i="4"/>
  <c r="I39" i="3"/>
  <c r="I82" i="6"/>
  <c r="I40" i="5"/>
  <c r="I58" i="3"/>
  <c r="I51" i="4"/>
  <c r="I101" i="3"/>
  <c r="P61" i="5"/>
  <c r="K77" i="3"/>
  <c r="M62" i="5"/>
  <c r="P75" i="3"/>
  <c r="M43" i="6"/>
  <c r="P86" i="5"/>
  <c r="P61" i="3"/>
  <c r="I59" i="6"/>
  <c r="L61" i="4"/>
  <c r="J78" i="6"/>
  <c r="K92" i="5"/>
  <c r="I121" i="3"/>
  <c r="M68" i="5"/>
  <c r="K91" i="6"/>
  <c r="L116" i="5"/>
  <c r="M99" i="3"/>
  <c r="J90" i="5"/>
  <c r="L119" i="4"/>
  <c r="J118" i="6"/>
  <c r="L87" i="4"/>
  <c r="J105" i="3"/>
  <c r="J116" i="6"/>
  <c r="P82" i="4"/>
  <c r="J41" i="6"/>
  <c r="P118" i="3"/>
  <c r="M95" i="6"/>
  <c r="P39" i="3"/>
  <c r="L23" i="6"/>
  <c r="L69" i="5"/>
  <c r="P56" i="5"/>
  <c r="J47" i="4"/>
  <c r="L107" i="4"/>
  <c r="L89" i="5"/>
  <c r="L83" i="3"/>
  <c r="K88" i="6"/>
  <c r="P91" i="4"/>
  <c r="P114" i="6"/>
  <c r="P74" i="4"/>
  <c r="L93" i="3"/>
  <c r="J49" i="5"/>
  <c r="M103" i="3"/>
  <c r="J123" i="6"/>
  <c r="P73" i="4"/>
  <c r="L87" i="6"/>
  <c r="M50" i="4"/>
  <c r="L42" i="4"/>
  <c r="I15" i="6"/>
  <c r="P115" i="4"/>
  <c r="L115" i="6"/>
  <c r="J72" i="4"/>
  <c r="K40" i="3"/>
  <c r="I22" i="5"/>
  <c r="P122" i="6"/>
  <c r="I80" i="5"/>
  <c r="P81" i="4"/>
  <c r="P86" i="4"/>
  <c r="L82" i="6"/>
  <c r="I62" i="5"/>
  <c r="K57" i="3"/>
  <c r="P106" i="6"/>
  <c r="L52" i="5"/>
  <c r="I79" i="3"/>
  <c r="J45" i="5"/>
  <c r="K104" i="3"/>
  <c r="M86" i="5"/>
  <c r="L110" i="3"/>
  <c r="M56" i="5"/>
  <c r="P79" i="3"/>
  <c r="I13" i="6"/>
  <c r="I44" i="5"/>
  <c r="P72" i="4"/>
  <c r="L63" i="6"/>
  <c r="J83" i="4"/>
  <c r="K78" i="6"/>
  <c r="P107" i="5"/>
  <c r="I67" i="3"/>
  <c r="M102" i="5"/>
  <c r="K82" i="6"/>
  <c r="P39" i="5"/>
  <c r="I27" i="3"/>
  <c r="J124" i="5"/>
  <c r="L48" i="4"/>
  <c r="K118" i="6"/>
  <c r="K75" i="4"/>
  <c r="I80" i="3"/>
  <c r="J107" i="6"/>
  <c r="I123" i="4"/>
  <c r="L2" i="6"/>
  <c r="P59" i="3"/>
  <c r="J111" i="6"/>
  <c r="J42" i="4"/>
  <c r="K105" i="6"/>
  <c r="M60" i="6"/>
  <c r="M41" i="5"/>
  <c r="P108" i="4"/>
  <c r="J68" i="4"/>
  <c r="L83" i="5"/>
  <c r="M44" i="3"/>
  <c r="K79" i="6"/>
  <c r="I61" i="4"/>
  <c r="L93" i="6"/>
  <c r="K60" i="4"/>
  <c r="M99" i="4"/>
  <c r="K89" i="5"/>
  <c r="P113" i="3"/>
  <c r="K40" i="6"/>
  <c r="P107" i="4"/>
  <c r="L81" i="6"/>
  <c r="J66" i="4"/>
  <c r="I48" i="4"/>
  <c r="I8" i="6"/>
  <c r="J94" i="4"/>
  <c r="L31" i="3"/>
  <c r="M84" i="4"/>
  <c r="I70" i="3"/>
  <c r="K68" i="5"/>
  <c r="M24" i="6"/>
  <c r="M117" i="5"/>
  <c r="I66" i="6"/>
  <c r="M43" i="4"/>
  <c r="L91" i="6"/>
  <c r="P117" i="6"/>
  <c r="J117" i="4"/>
  <c r="K72" i="6"/>
  <c r="P101" i="5"/>
  <c r="I63" i="3"/>
  <c r="M96" i="5"/>
  <c r="K73" i="6"/>
  <c r="P113" i="5"/>
  <c r="M33" i="3"/>
  <c r="J118" i="5"/>
  <c r="L101" i="4"/>
  <c r="K112" i="6"/>
  <c r="K109" i="4"/>
  <c r="J64" i="3"/>
  <c r="L110" i="6"/>
  <c r="J58" i="4"/>
  <c r="I33" i="6"/>
  <c r="P57" i="3"/>
  <c r="L106" i="6"/>
  <c r="P60" i="4"/>
  <c r="K59" i="6"/>
  <c r="M51" i="6"/>
  <c r="M75" i="5"/>
  <c r="K45" i="4"/>
  <c r="L62" i="3"/>
  <c r="K111" i="5"/>
  <c r="L78" i="3"/>
  <c r="I58" i="6"/>
  <c r="J46" i="4"/>
  <c r="P62" i="6"/>
  <c r="I26" i="4"/>
  <c r="I28" i="3"/>
  <c r="J117" i="5"/>
  <c r="P74" i="3"/>
  <c r="P55" i="6"/>
  <c r="J114" i="4"/>
  <c r="I97" i="6"/>
  <c r="L72" i="4"/>
  <c r="L64" i="4"/>
  <c r="P102" i="6"/>
  <c r="I53" i="4"/>
  <c r="P112" i="3"/>
  <c r="I94" i="4"/>
  <c r="L30" i="3"/>
  <c r="L105" i="5"/>
  <c r="L52" i="6"/>
  <c r="I51" i="3"/>
  <c r="L77" i="6"/>
  <c r="L50" i="6"/>
  <c r="J85" i="3"/>
  <c r="P65" i="6"/>
  <c r="K107" i="4"/>
  <c r="L85" i="5"/>
  <c r="I32" i="3"/>
  <c r="P97" i="6"/>
  <c r="M88" i="3"/>
  <c r="K105" i="5"/>
  <c r="M64" i="3"/>
  <c r="I60" i="5"/>
  <c r="P63" i="4"/>
  <c r="L102" i="6"/>
  <c r="I72" i="5"/>
  <c r="K73" i="4"/>
  <c r="I118" i="6"/>
  <c r="J111" i="4"/>
  <c r="J100" i="6"/>
  <c r="M126" i="5"/>
  <c r="K108" i="3"/>
  <c r="I106" i="5"/>
  <c r="M76" i="6"/>
  <c r="K126" i="5"/>
  <c r="K115" i="3"/>
  <c r="L124" i="5"/>
  <c r="J123" i="4"/>
  <c r="I11" i="6"/>
  <c r="I5" i="5"/>
  <c r="J33" i="3"/>
  <c r="P36" i="6"/>
  <c r="J34" i="4"/>
  <c r="I17" i="6"/>
  <c r="I36" i="4"/>
  <c r="J99" i="6"/>
  <c r="P51" i="4"/>
  <c r="P74" i="6"/>
  <c r="P81" i="6"/>
  <c r="P69" i="6"/>
  <c r="L121" i="4"/>
  <c r="M22" i="3"/>
  <c r="I93" i="5"/>
  <c r="M93" i="3"/>
  <c r="I49" i="6"/>
  <c r="J80" i="4"/>
  <c r="P56" i="6"/>
  <c r="L38" i="4"/>
  <c r="L104" i="3"/>
  <c r="J111" i="5"/>
  <c r="P46" i="3"/>
  <c r="P49" i="6"/>
  <c r="K114" i="4"/>
  <c r="L109" i="6"/>
  <c r="I125" i="5"/>
  <c r="J86" i="4"/>
  <c r="P96" i="6"/>
  <c r="I87" i="4"/>
  <c r="I19" i="4"/>
  <c r="P75" i="5"/>
  <c r="J82" i="3"/>
  <c r="I121" i="5"/>
  <c r="L86" i="6"/>
  <c r="P55" i="3"/>
  <c r="J112" i="3"/>
  <c r="I107" i="3"/>
  <c r="P125" i="4"/>
  <c r="J96" i="6"/>
  <c r="I73" i="3"/>
  <c r="J31" i="4"/>
  <c r="P67" i="5"/>
  <c r="M95" i="3"/>
  <c r="K64" i="3"/>
  <c r="I66" i="5"/>
  <c r="L57" i="4"/>
  <c r="M114" i="6"/>
  <c r="J46" i="6"/>
  <c r="J56" i="5"/>
  <c r="J43" i="6"/>
  <c r="M51" i="4"/>
  <c r="J53" i="6"/>
  <c r="J95" i="4"/>
  <c r="L53" i="6"/>
  <c r="M23" i="6"/>
  <c r="P60" i="6"/>
  <c r="I3" i="4"/>
  <c r="I31" i="3"/>
  <c r="J47" i="5"/>
  <c r="I83" i="3"/>
  <c r="J89" i="6"/>
  <c r="L86" i="4"/>
  <c r="K69" i="6"/>
  <c r="P47" i="4"/>
  <c r="I88" i="3"/>
  <c r="L70" i="5"/>
  <c r="M100" i="4"/>
  <c r="I3" i="6"/>
  <c r="I13" i="4"/>
  <c r="I99" i="3"/>
  <c r="I110" i="5"/>
  <c r="J120" i="4"/>
  <c r="K109" i="6"/>
  <c r="P114" i="4"/>
  <c r="J54" i="3"/>
  <c r="M112" i="5"/>
  <c r="J31" i="3"/>
  <c r="J121" i="5"/>
  <c r="I102" i="6"/>
  <c r="M60" i="5"/>
  <c r="I9" i="4"/>
  <c r="I13" i="5"/>
  <c r="L91" i="4"/>
  <c r="I88" i="4"/>
  <c r="L56" i="4"/>
  <c r="L60" i="6"/>
  <c r="I122" i="4"/>
  <c r="K64" i="4"/>
  <c r="I16" i="4"/>
  <c r="K85" i="6"/>
  <c r="J76" i="4"/>
  <c r="J102" i="6"/>
  <c r="I46" i="6"/>
  <c r="L73" i="6"/>
  <c r="K74" i="5"/>
  <c r="P51" i="5"/>
  <c r="L56" i="5"/>
  <c r="P85" i="4"/>
  <c r="M65" i="3"/>
  <c r="J94" i="5"/>
  <c r="M98" i="3"/>
  <c r="L29" i="6"/>
  <c r="I44" i="6"/>
  <c r="P99" i="4"/>
  <c r="J55" i="3"/>
  <c r="I74" i="6"/>
  <c r="J4" i="5"/>
  <c r="K46" i="3"/>
  <c r="L58" i="6"/>
  <c r="J12" i="5"/>
  <c r="K120" i="3"/>
  <c r="J46" i="5"/>
  <c r="I96" i="3"/>
  <c r="L50" i="5"/>
  <c r="L53" i="3"/>
  <c r="M106" i="6"/>
  <c r="L70" i="4"/>
  <c r="M56" i="6"/>
  <c r="K72" i="5"/>
  <c r="K55" i="4"/>
  <c r="J72" i="6"/>
  <c r="I50" i="4"/>
  <c r="J37" i="4"/>
  <c r="L62" i="5"/>
  <c r="L61" i="3"/>
  <c r="M118" i="5"/>
  <c r="L49" i="6"/>
  <c r="J25" i="5"/>
  <c r="L118" i="3"/>
  <c r="J21" i="5"/>
  <c r="M2" i="4"/>
  <c r="M47" i="4"/>
  <c r="L82" i="5"/>
  <c r="P116" i="3"/>
  <c r="K83" i="6"/>
  <c r="L74" i="4"/>
  <c r="P106" i="3"/>
  <c r="M42" i="4"/>
  <c r="M65" i="6"/>
  <c r="I5" i="4"/>
  <c r="P22" i="6"/>
  <c r="L61" i="6"/>
  <c r="I18" i="6"/>
  <c r="M69" i="5"/>
  <c r="I68" i="3"/>
  <c r="K47" i="5"/>
  <c r="I95" i="3"/>
  <c r="L95" i="6"/>
  <c r="M86" i="4"/>
  <c r="P84" i="6"/>
  <c r="K97" i="5"/>
  <c r="M77" i="3"/>
  <c r="K59" i="5"/>
  <c r="K119" i="4"/>
  <c r="P120" i="6"/>
  <c r="L65" i="4"/>
  <c r="L127" i="4"/>
  <c r="P94" i="5"/>
  <c r="L126" i="4"/>
  <c r="P124" i="6"/>
  <c r="L50" i="4"/>
  <c r="L69" i="3"/>
  <c r="K113" i="5"/>
  <c r="L79" i="3"/>
  <c r="J36" i="5"/>
  <c r="I96" i="6"/>
  <c r="I28" i="4"/>
  <c r="M46" i="5"/>
  <c r="M100" i="5"/>
  <c r="M120" i="6"/>
  <c r="L126" i="6"/>
  <c r="K66" i="6"/>
  <c r="K78" i="3"/>
  <c r="I78" i="5"/>
  <c r="M38" i="3"/>
  <c r="K58" i="6"/>
  <c r="L114" i="5"/>
  <c r="I89" i="5"/>
  <c r="K34" i="3"/>
  <c r="I72" i="6"/>
  <c r="M76" i="3"/>
  <c r="L71" i="3"/>
  <c r="J28" i="4"/>
  <c r="J44" i="6"/>
  <c r="K112" i="4"/>
  <c r="P42" i="3"/>
  <c r="I108" i="6"/>
  <c r="J32" i="5"/>
  <c r="K73" i="3"/>
  <c r="K86" i="6"/>
  <c r="J44" i="5"/>
  <c r="K97" i="3"/>
  <c r="M58" i="5"/>
  <c r="L85" i="3"/>
  <c r="P59" i="5"/>
  <c r="M90" i="3"/>
  <c r="J36" i="6"/>
  <c r="I43" i="4"/>
  <c r="P59" i="6"/>
  <c r="I94" i="5"/>
  <c r="I77" i="4"/>
  <c r="J66" i="6"/>
  <c r="M68" i="4"/>
  <c r="L95" i="3"/>
  <c r="L96" i="5"/>
  <c r="J67" i="3"/>
  <c r="J85" i="6"/>
  <c r="I65" i="6"/>
  <c r="M74" i="5"/>
  <c r="J58" i="3"/>
  <c r="M103" i="6"/>
  <c r="I56" i="4"/>
  <c r="L126" i="3"/>
  <c r="I55" i="5"/>
  <c r="P37" i="3"/>
  <c r="P98" i="6"/>
  <c r="L108" i="4"/>
  <c r="L97" i="4"/>
  <c r="I89" i="4"/>
  <c r="K47" i="6"/>
  <c r="J40" i="4"/>
  <c r="I31" i="6"/>
  <c r="P70" i="6"/>
  <c r="L27" i="6"/>
  <c r="M54" i="5"/>
  <c r="L48" i="3"/>
  <c r="P62" i="5"/>
  <c r="P56" i="3"/>
  <c r="K43" i="6"/>
  <c r="L106" i="4"/>
  <c r="P101" i="3"/>
  <c r="K82" i="5"/>
  <c r="K114" i="3"/>
  <c r="P74" i="5"/>
  <c r="K110" i="4"/>
  <c r="M112" i="6"/>
  <c r="K93" i="4"/>
  <c r="L113" i="3"/>
  <c r="M116" i="5"/>
  <c r="M126" i="4"/>
  <c r="J7" i="4"/>
  <c r="I66" i="4"/>
  <c r="P61" i="4"/>
  <c r="P48" i="5"/>
  <c r="J23" i="3"/>
  <c r="M39" i="5"/>
  <c r="I50" i="6"/>
  <c r="I20" i="6"/>
  <c r="P103" i="3"/>
  <c r="L43" i="4"/>
  <c r="L32" i="6"/>
  <c r="J21" i="6"/>
  <c r="K43" i="5"/>
  <c r="J106" i="4"/>
  <c r="L90" i="4"/>
  <c r="K70" i="5"/>
  <c r="I49" i="5"/>
  <c r="J54" i="6"/>
  <c r="K84" i="5"/>
  <c r="J108" i="6"/>
  <c r="L98" i="3"/>
  <c r="I52" i="5"/>
  <c r="M116" i="3"/>
  <c r="L60" i="3"/>
  <c r="M78" i="5"/>
  <c r="M102" i="6"/>
  <c r="K78" i="5"/>
  <c r="L117" i="4"/>
  <c r="I100" i="5"/>
  <c r="P104" i="3"/>
  <c r="K120" i="6"/>
  <c r="J38" i="5"/>
  <c r="M52" i="5"/>
  <c r="J101" i="3"/>
  <c r="L122" i="6"/>
  <c r="M61" i="4"/>
  <c r="P53" i="6"/>
  <c r="I122" i="6"/>
  <c r="I111" i="4"/>
  <c r="I94" i="6"/>
  <c r="P111" i="4"/>
  <c r="L97" i="3"/>
  <c r="L90" i="5"/>
  <c r="K36" i="3"/>
  <c r="J76" i="6"/>
  <c r="M83" i="6"/>
  <c r="I84" i="5"/>
  <c r="K87" i="3"/>
  <c r="M94" i="6"/>
  <c r="I90" i="4"/>
  <c r="K99" i="3"/>
  <c r="K58" i="5"/>
  <c r="P115" i="3"/>
  <c r="L117" i="6"/>
  <c r="J11" i="4"/>
  <c r="P103" i="4"/>
  <c r="J54" i="4"/>
  <c r="I52" i="6"/>
  <c r="L46" i="4"/>
  <c r="K29" i="6"/>
  <c r="I111" i="6"/>
  <c r="M67" i="6"/>
  <c r="L39" i="5"/>
  <c r="I76" i="3"/>
  <c r="J69" i="5"/>
  <c r="P110" i="3"/>
  <c r="J28" i="6"/>
  <c r="P40" i="4"/>
  <c r="K48" i="4"/>
  <c r="J67" i="5"/>
  <c r="J96" i="3"/>
  <c r="I75" i="5"/>
  <c r="I46" i="4"/>
  <c r="I115" i="6"/>
  <c r="I32" i="4"/>
  <c r="L74" i="3"/>
  <c r="M67" i="5"/>
  <c r="P46" i="4"/>
  <c r="M91" i="3"/>
  <c r="L78" i="4"/>
  <c r="J103" i="3"/>
  <c r="J89" i="5"/>
  <c r="L28" i="3"/>
  <c r="I76" i="5"/>
  <c r="P37" i="6"/>
  <c r="P49" i="4"/>
  <c r="M58" i="6"/>
  <c r="J102" i="5"/>
  <c r="L36" i="3"/>
  <c r="L17" i="3"/>
  <c r="J113" i="5"/>
  <c r="P85" i="5"/>
  <c r="I38" i="4"/>
  <c r="L51" i="5"/>
  <c r="J40" i="3"/>
  <c r="J56" i="6"/>
  <c r="K84" i="4"/>
  <c r="K109" i="3"/>
  <c r="P54" i="4"/>
  <c r="M63" i="6"/>
  <c r="K120" i="5"/>
  <c r="K83" i="3"/>
  <c r="I24" i="4"/>
  <c r="L39" i="6"/>
  <c r="I20" i="5"/>
  <c r="P29" i="3"/>
  <c r="J50" i="3"/>
  <c r="P53" i="5"/>
  <c r="J94" i="6"/>
  <c r="L100" i="5"/>
  <c r="P107" i="3"/>
  <c r="L114" i="6"/>
  <c r="P47" i="5"/>
  <c r="P126" i="3"/>
  <c r="M36" i="6"/>
  <c r="L44" i="5"/>
  <c r="P111" i="3"/>
  <c r="L80" i="5"/>
  <c r="L122" i="3"/>
  <c r="L72" i="5"/>
  <c r="I62" i="3"/>
  <c r="J101" i="6"/>
  <c r="M95" i="4"/>
  <c r="M78" i="6"/>
  <c r="L48" i="6"/>
  <c r="I105" i="4"/>
  <c r="P113" i="4"/>
  <c r="K41" i="4"/>
  <c r="K117" i="3"/>
  <c r="P99" i="5"/>
  <c r="L65" i="3"/>
  <c r="J67" i="6"/>
  <c r="I53" i="6"/>
  <c r="I118" i="5"/>
  <c r="I60" i="3"/>
  <c r="M85" i="6"/>
  <c r="M108" i="4"/>
  <c r="K88" i="3"/>
  <c r="J14" i="5"/>
  <c r="L63" i="4"/>
  <c r="P86" i="6"/>
  <c r="I75" i="4"/>
  <c r="I101" i="4"/>
  <c r="I34" i="4"/>
  <c r="K64" i="6"/>
  <c r="M46" i="4"/>
  <c r="P44" i="6"/>
  <c r="L123" i="6"/>
  <c r="I77" i="6"/>
  <c r="J101" i="5"/>
  <c r="M52" i="3"/>
  <c r="I57" i="5"/>
  <c r="P64" i="3"/>
  <c r="J22" i="6"/>
  <c r="M65" i="4"/>
  <c r="K101" i="4"/>
  <c r="J58" i="5"/>
  <c r="I35" i="3"/>
  <c r="L87" i="5"/>
  <c r="M64" i="4"/>
  <c r="K81" i="6"/>
  <c r="L44" i="4"/>
  <c r="M92" i="3"/>
  <c r="P110" i="5"/>
  <c r="P80" i="4"/>
  <c r="J73" i="4"/>
  <c r="P87" i="4"/>
  <c r="M35" i="3"/>
  <c r="L106" i="5"/>
  <c r="M41" i="3"/>
  <c r="I42" i="6"/>
  <c r="I38" i="6"/>
  <c r="K122" i="3"/>
  <c r="I80" i="6"/>
  <c r="J31" i="6"/>
  <c r="J58" i="6"/>
  <c r="P93" i="6"/>
  <c r="P73" i="6"/>
  <c r="M85" i="4"/>
  <c r="P82" i="5"/>
  <c r="L87" i="3"/>
  <c r="M105" i="3"/>
  <c r="L118" i="5"/>
  <c r="M118" i="4"/>
  <c r="L120" i="6"/>
  <c r="I77" i="3"/>
  <c r="M127" i="6"/>
  <c r="K79" i="5"/>
  <c r="K85" i="4"/>
  <c r="L68" i="6"/>
  <c r="P75" i="6"/>
  <c r="J51" i="4"/>
  <c r="K97" i="6"/>
  <c r="L38" i="5"/>
  <c r="J59" i="3"/>
  <c r="M120" i="5"/>
  <c r="J76" i="3"/>
  <c r="L100" i="6"/>
  <c r="M37" i="3"/>
  <c r="I86" i="6"/>
  <c r="M89" i="4"/>
  <c r="K33" i="3"/>
  <c r="J27" i="6"/>
  <c r="K111" i="4"/>
  <c r="M76" i="5"/>
  <c r="I23" i="4"/>
  <c r="K63" i="3"/>
  <c r="P93" i="5"/>
  <c r="L116" i="3"/>
  <c r="L70" i="6"/>
  <c r="I9" i="6"/>
  <c r="I112" i="5"/>
  <c r="J42" i="3"/>
  <c r="I92" i="6"/>
  <c r="L53" i="4"/>
  <c r="L103" i="3"/>
  <c r="I31" i="5"/>
  <c r="I27" i="4"/>
  <c r="P40" i="6"/>
  <c r="P102" i="4"/>
  <c r="L110" i="4"/>
  <c r="K40" i="4"/>
  <c r="J23" i="6"/>
  <c r="P89" i="4"/>
  <c r="L71" i="4"/>
  <c r="L57" i="6"/>
  <c r="J117" i="6"/>
  <c r="L104" i="5"/>
  <c r="I69" i="3"/>
  <c r="I91" i="5"/>
  <c r="I76" i="4"/>
  <c r="K39" i="6"/>
  <c r="K127" i="4"/>
  <c r="P55" i="4"/>
  <c r="I43" i="5"/>
  <c r="K112" i="3"/>
  <c r="P96" i="5"/>
  <c r="M98" i="4"/>
  <c r="K75" i="6"/>
  <c r="I60" i="4"/>
  <c r="M49" i="3"/>
  <c r="J8" i="5"/>
  <c r="M105" i="4"/>
  <c r="J119" i="3"/>
  <c r="M66" i="5"/>
  <c r="K49" i="3"/>
  <c r="I73" i="5"/>
  <c r="K111" i="3"/>
  <c r="P66" i="6"/>
  <c r="I39" i="6"/>
  <c r="J70" i="4"/>
  <c r="K52" i="3"/>
  <c r="I127" i="5"/>
  <c r="P122" i="5"/>
  <c r="J48" i="3"/>
  <c r="I7" i="6"/>
  <c r="K26" i="6"/>
  <c r="J40" i="5"/>
  <c r="K92" i="3"/>
  <c r="J19" i="5"/>
  <c r="I21" i="3"/>
  <c r="K125" i="6"/>
  <c r="M28" i="3"/>
  <c r="J86" i="6"/>
  <c r="I99" i="4"/>
  <c r="I25" i="4"/>
  <c r="L113" i="6"/>
  <c r="P43" i="4"/>
  <c r="I82" i="3"/>
  <c r="J63" i="4"/>
  <c r="M104" i="3"/>
  <c r="L112" i="5"/>
  <c r="J49" i="3"/>
  <c r="I126" i="6"/>
  <c r="J7" i="6"/>
  <c r="K118" i="5"/>
  <c r="M71" i="3"/>
  <c r="J24" i="6"/>
  <c r="K81" i="4"/>
  <c r="J52" i="3"/>
  <c r="I25" i="5"/>
  <c r="M106" i="4"/>
  <c r="K53" i="6"/>
  <c r="M87" i="4"/>
  <c r="I83" i="4"/>
  <c r="L40" i="4"/>
  <c r="M35" i="6"/>
  <c r="P123" i="4"/>
  <c r="M40" i="3"/>
  <c r="L111" i="6"/>
  <c r="P121" i="6"/>
  <c r="L55" i="5"/>
  <c r="L44" i="3"/>
  <c r="J82" i="6"/>
  <c r="M91" i="4"/>
  <c r="J93" i="6"/>
  <c r="J55" i="4"/>
  <c r="M68" i="3"/>
  <c r="J83" i="5"/>
  <c r="L89" i="3"/>
  <c r="M81" i="5"/>
  <c r="I108" i="4"/>
  <c r="P90" i="6"/>
  <c r="K66" i="4"/>
  <c r="M57" i="3"/>
  <c r="K100" i="5"/>
  <c r="K44" i="4"/>
  <c r="J39" i="3"/>
  <c r="K122" i="5"/>
  <c r="P84" i="3"/>
  <c r="K64" i="5"/>
  <c r="M46" i="3"/>
  <c r="P57" i="6"/>
  <c r="L127" i="6"/>
  <c r="P26" i="3"/>
  <c r="I24" i="5"/>
  <c r="M70" i="6"/>
  <c r="L89" i="4"/>
  <c r="M103" i="4"/>
  <c r="M107" i="5"/>
  <c r="J75" i="3"/>
  <c r="K96" i="3"/>
  <c r="J20" i="6"/>
  <c r="I33" i="5"/>
  <c r="K50" i="5"/>
  <c r="I114" i="6"/>
  <c r="L62" i="4"/>
  <c r="L23" i="3"/>
  <c r="I24" i="3"/>
  <c r="I79" i="6"/>
  <c r="K93" i="3"/>
  <c r="J126" i="6"/>
  <c r="I45" i="6"/>
  <c r="K112" i="5"/>
  <c r="I66" i="3"/>
  <c r="M21" i="6"/>
  <c r="J69" i="4"/>
  <c r="I87" i="3"/>
  <c r="I59" i="5"/>
  <c r="M73" i="4"/>
  <c r="I35" i="6"/>
  <c r="M121" i="4"/>
  <c r="M101" i="4"/>
  <c r="M80" i="4"/>
  <c r="L84" i="4"/>
  <c r="P39" i="4"/>
  <c r="M78" i="3"/>
  <c r="L65" i="6"/>
  <c r="M39" i="6"/>
  <c r="K83" i="5"/>
  <c r="J60" i="3"/>
  <c r="J73" i="6"/>
  <c r="M82" i="4"/>
  <c r="M105" i="6"/>
  <c r="J26" i="4"/>
  <c r="L54" i="4"/>
  <c r="I111" i="5"/>
  <c r="K105" i="3"/>
  <c r="M115" i="5"/>
  <c r="J108" i="4"/>
  <c r="K103" i="6"/>
  <c r="P118" i="5"/>
  <c r="M120" i="3"/>
  <c r="M40" i="5"/>
  <c r="P59" i="4"/>
  <c r="M62" i="3"/>
  <c r="J107" i="5"/>
  <c r="K26" i="3"/>
  <c r="J62" i="5"/>
  <c r="J51" i="3"/>
  <c r="M122" i="6"/>
  <c r="L121" i="6"/>
  <c r="M2" i="5"/>
  <c r="P33" i="6"/>
  <c r="M66" i="6"/>
  <c r="L101" i="5"/>
  <c r="M92" i="6"/>
  <c r="J4" i="4"/>
  <c r="P120" i="4"/>
  <c r="J61" i="6"/>
  <c r="L46" i="5"/>
  <c r="M97" i="6"/>
  <c r="M97" i="4"/>
  <c r="P83" i="6"/>
  <c r="J60" i="5"/>
  <c r="J55" i="5"/>
  <c r="J101" i="4"/>
  <c r="L56" i="6"/>
  <c r="I104" i="4"/>
  <c r="M68" i="6"/>
  <c r="J88" i="6"/>
  <c r="L21" i="3"/>
  <c r="K116" i="6"/>
  <c r="M109" i="3"/>
  <c r="I75" i="3"/>
  <c r="P116" i="5"/>
  <c r="M110" i="4"/>
  <c r="I12" i="6"/>
  <c r="K67" i="6"/>
  <c r="L113" i="4"/>
  <c r="P71" i="6"/>
  <c r="I113" i="6"/>
  <c r="L46" i="3"/>
  <c r="K44" i="5"/>
  <c r="K58" i="3"/>
  <c r="I95" i="6"/>
  <c r="P34" i="3"/>
  <c r="P29" i="6"/>
  <c r="J50" i="4"/>
  <c r="K67" i="3"/>
  <c r="L98" i="6"/>
  <c r="M102" i="4"/>
  <c r="K118" i="3"/>
  <c r="J85" i="5"/>
  <c r="I47" i="3"/>
  <c r="I70" i="6"/>
  <c r="J44" i="3"/>
  <c r="J37" i="6"/>
  <c r="M96" i="6"/>
  <c r="L45" i="5"/>
  <c r="P17" i="3"/>
  <c r="P64" i="6"/>
  <c r="J103" i="4"/>
  <c r="I52" i="3"/>
  <c r="J96" i="5"/>
  <c r="P116" i="4"/>
  <c r="I27" i="6"/>
  <c r="P38" i="5"/>
  <c r="M69" i="4"/>
  <c r="M114" i="4"/>
  <c r="J16" i="3"/>
  <c r="K87" i="4"/>
  <c r="J122" i="3"/>
  <c r="I81" i="6"/>
  <c r="M117" i="6"/>
  <c r="K77" i="5"/>
  <c r="I61" i="3"/>
  <c r="P51" i="6"/>
  <c r="P121" i="4"/>
  <c r="K87" i="6"/>
  <c r="M38" i="4"/>
  <c r="M113" i="4"/>
  <c r="I105" i="5"/>
  <c r="K23" i="3"/>
  <c r="P109" i="6"/>
  <c r="K61" i="4"/>
  <c r="J124" i="3"/>
  <c r="P103" i="5"/>
  <c r="L99" i="3"/>
  <c r="P80" i="5"/>
  <c r="K72" i="4"/>
  <c r="J28" i="3"/>
  <c r="L66" i="5"/>
  <c r="K121" i="3"/>
  <c r="K99" i="5"/>
  <c r="J62" i="3"/>
  <c r="M113" i="6"/>
  <c r="I14" i="6"/>
  <c r="K31" i="3"/>
  <c r="M39" i="4"/>
  <c r="K49" i="4"/>
  <c r="I37" i="4"/>
  <c r="J34" i="5"/>
  <c r="M88" i="4"/>
  <c r="K56" i="6"/>
  <c r="L105" i="4"/>
  <c r="M88" i="6"/>
  <c r="I34" i="3"/>
  <c r="I10" i="4"/>
  <c r="K98" i="6"/>
  <c r="I91" i="4"/>
  <c r="M111" i="5"/>
  <c r="M97" i="3"/>
  <c r="J15" i="5"/>
  <c r="M109" i="4"/>
  <c r="K27" i="6"/>
  <c r="J52" i="6"/>
  <c r="I126" i="4"/>
  <c r="I26" i="6"/>
  <c r="I104" i="6"/>
  <c r="L26" i="3"/>
  <c r="M50" i="5"/>
  <c r="L127" i="3"/>
  <c r="P79" i="6"/>
  <c r="P98" i="3"/>
  <c r="L37" i="6"/>
  <c r="K90" i="4"/>
  <c r="I98" i="3"/>
  <c r="K126" i="6"/>
  <c r="J35" i="4"/>
  <c r="K82" i="3"/>
  <c r="J30" i="5"/>
  <c r="I78" i="3"/>
  <c r="I61" i="6"/>
  <c r="P125" i="3"/>
  <c r="P58" i="6"/>
  <c r="P99" i="6"/>
  <c r="L97" i="6"/>
  <c r="P90" i="3"/>
  <c r="K77" i="6"/>
  <c r="J54" i="5"/>
  <c r="I92" i="3"/>
  <c r="L102" i="5"/>
  <c r="M54" i="4"/>
  <c r="L103" i="6"/>
  <c r="P106" i="5"/>
  <c r="P75" i="4"/>
  <c r="J18" i="4"/>
  <c r="K55" i="3"/>
  <c r="J115" i="4"/>
  <c r="K95" i="3"/>
  <c r="M59" i="6"/>
  <c r="M71" i="6"/>
  <c r="J105" i="5"/>
  <c r="J21" i="3"/>
  <c r="P42" i="6"/>
  <c r="I40" i="4"/>
  <c r="M53" i="6"/>
  <c r="J91" i="5"/>
  <c r="K84" i="3"/>
  <c r="J5" i="5"/>
  <c r="L20" i="3"/>
  <c r="P100" i="6"/>
  <c r="K59" i="4"/>
  <c r="M52" i="4"/>
  <c r="M85" i="5"/>
  <c r="K30" i="3"/>
  <c r="K93" i="5"/>
  <c r="M78" i="4"/>
  <c r="K29" i="3"/>
  <c r="I83" i="5"/>
  <c r="J56" i="3"/>
  <c r="P114" i="5"/>
  <c r="K100" i="3"/>
  <c r="J6" i="6"/>
  <c r="P1" i="3"/>
  <c r="K51" i="4"/>
  <c r="P97" i="5"/>
  <c r="P62" i="4"/>
  <c r="J81" i="4"/>
  <c r="L81" i="3"/>
  <c r="I103" i="4"/>
  <c r="J47" i="3"/>
  <c r="I29" i="6"/>
  <c r="J87" i="6"/>
  <c r="I9" i="5"/>
  <c r="K91" i="3"/>
  <c r="I83" i="6"/>
  <c r="I74" i="4"/>
  <c r="M47" i="6"/>
  <c r="J76" i="5"/>
  <c r="J63" i="3"/>
  <c r="J53" i="5"/>
  <c r="K90" i="3"/>
  <c r="L76" i="6"/>
  <c r="J87" i="4"/>
  <c r="L66" i="3"/>
  <c r="L110" i="5"/>
  <c r="M118" i="3"/>
  <c r="L93" i="5"/>
  <c r="L60" i="5"/>
  <c r="K38" i="3"/>
  <c r="J123" i="5"/>
  <c r="J107" i="3"/>
  <c r="I115" i="5"/>
  <c r="M29" i="3"/>
  <c r="K46" i="6"/>
  <c r="P1" i="4"/>
  <c r="J80" i="6"/>
  <c r="P64" i="4"/>
  <c r="P47" i="6"/>
  <c r="L64" i="6"/>
  <c r="L72" i="3"/>
  <c r="K66" i="5"/>
  <c r="J95" i="3"/>
  <c r="P107" i="6"/>
  <c r="K125" i="4"/>
  <c r="L108" i="6"/>
  <c r="K54" i="4"/>
  <c r="J80" i="3"/>
  <c r="P52" i="6"/>
  <c r="I57" i="4"/>
  <c r="K69" i="3"/>
  <c r="P109" i="5"/>
  <c r="I102" i="3"/>
  <c r="P119" i="6"/>
  <c r="K91" i="4"/>
  <c r="P46" i="6"/>
  <c r="M118" i="6"/>
  <c r="L79" i="6"/>
  <c r="P112" i="4"/>
  <c r="K65" i="6"/>
  <c r="K76" i="5"/>
  <c r="I20" i="3"/>
  <c r="K85" i="5"/>
  <c r="I22" i="4"/>
  <c r="K23" i="6"/>
  <c r="K67" i="5"/>
  <c r="L42" i="3"/>
  <c r="I109" i="4"/>
  <c r="I74" i="3"/>
  <c r="J48" i="4"/>
  <c r="K116" i="3"/>
  <c r="I23" i="6"/>
  <c r="P68" i="6"/>
  <c r="I41" i="5"/>
  <c r="K70" i="3"/>
  <c r="K89" i="6"/>
  <c r="K80" i="4"/>
  <c r="J63" i="6"/>
  <c r="I61" i="5"/>
  <c r="K66" i="3"/>
  <c r="M65" i="5"/>
  <c r="K25" i="3"/>
  <c r="L67" i="6"/>
  <c r="I55" i="4"/>
  <c r="K115" i="4"/>
  <c r="L61" i="5"/>
  <c r="L75" i="3"/>
  <c r="I109" i="5"/>
  <c r="J116" i="5"/>
  <c r="M24" i="3"/>
  <c r="K48" i="5"/>
  <c r="K61" i="3"/>
  <c r="L127" i="5"/>
  <c r="P31" i="3"/>
  <c r="K80" i="6"/>
  <c r="P1" i="5"/>
  <c r="P64" i="5"/>
  <c r="K52" i="6"/>
  <c r="M64" i="6"/>
  <c r="M82" i="3"/>
  <c r="K94" i="6"/>
  <c r="P73" i="3"/>
  <c r="M69" i="6"/>
  <c r="K97" i="4"/>
  <c r="K96" i="6"/>
  <c r="M41" i="4"/>
  <c r="L34" i="3"/>
  <c r="J19" i="6"/>
  <c r="P84" i="4"/>
  <c r="K80" i="3"/>
  <c r="J86" i="5"/>
  <c r="J78" i="3"/>
  <c r="I120" i="6"/>
  <c r="M94" i="4"/>
  <c r="P45" i="6"/>
  <c r="I54" i="3"/>
  <c r="P85" i="6"/>
  <c r="J116" i="4"/>
  <c r="J13" i="6"/>
  <c r="I15" i="5"/>
  <c r="I123" i="3"/>
  <c r="J33" i="5"/>
  <c r="K68" i="4"/>
  <c r="J120" i="3"/>
  <c r="M70" i="5"/>
  <c r="M74" i="3"/>
  <c r="P96" i="4"/>
  <c r="I112" i="3"/>
  <c r="J51" i="5"/>
  <c r="K110" i="3"/>
  <c r="L35" i="6"/>
  <c r="J35" i="6"/>
  <c r="J41" i="5"/>
  <c r="P69" i="3"/>
  <c r="J5" i="6"/>
  <c r="L80" i="4"/>
  <c r="M75" i="6"/>
  <c r="M119" i="5"/>
  <c r="K126" i="3"/>
  <c r="P68" i="5"/>
  <c r="M127" i="3"/>
  <c r="M107" i="6"/>
  <c r="K38" i="4"/>
  <c r="J27" i="3"/>
  <c r="M101" i="5"/>
  <c r="J30" i="3"/>
  <c r="K115" i="5"/>
  <c r="I101" i="5"/>
  <c r="P38" i="3"/>
  <c r="L48" i="5"/>
  <c r="M66" i="3"/>
  <c r="J122" i="5"/>
  <c r="P82" i="3"/>
  <c r="P95" i="6"/>
  <c r="P1" i="6"/>
  <c r="K20" i="4" a="1"/>
  <c r="K30" i="5" a="1"/>
  <c r="K33" i="5" a="1"/>
  <c r="K6" i="6" a="1"/>
  <c r="K5" i="6" a="1"/>
  <c r="K9" i="3" a="1"/>
  <c r="K5" i="4" a="1"/>
  <c r="K27" i="4" a="1"/>
  <c r="K19" i="4" a="1"/>
  <c r="K9" i="5" a="1"/>
  <c r="K10" i="3" a="1"/>
  <c r="K21" i="4" a="1"/>
  <c r="K10" i="5" a="1"/>
  <c r="K24" i="5" a="1"/>
  <c r="K11" i="4" a="1"/>
  <c r="K19" i="5" a="1"/>
  <c r="K16" i="4" a="1"/>
  <c r="K18" i="6" a="1"/>
  <c r="K11" i="3" a="1"/>
  <c r="K2" i="5" a="1"/>
  <c r="K4" i="4" a="1"/>
  <c r="K22" i="5" a="1"/>
  <c r="K4" i="6" a="1"/>
  <c r="K12" i="3" a="1"/>
  <c r="K29" i="5" a="1"/>
  <c r="K14" i="5" a="1"/>
  <c r="K15" i="6" a="1"/>
  <c r="K13" i="3" a="1"/>
  <c r="K15" i="4" a="1"/>
  <c r="K18" i="4" a="1"/>
  <c r="K14" i="3" a="1"/>
  <c r="K6" i="5" a="1"/>
  <c r="K28" i="4" a="1"/>
  <c r="K16" i="5" a="1"/>
  <c r="K17" i="5" a="1"/>
  <c r="K15" i="3" a="1"/>
  <c r="K10" i="6" a="1"/>
  <c r="K33" i="4" a="1"/>
  <c r="K4" i="5" a="1"/>
  <c r="K18" i="5" a="1"/>
  <c r="K7" i="5" a="1"/>
  <c r="K10" i="4" a="1"/>
  <c r="K32" i="5" a="1"/>
  <c r="K6" i="4" a="1"/>
  <c r="K23" i="4" a="1"/>
  <c r="K12" i="5" a="1"/>
  <c r="K36" i="4" a="1"/>
  <c r="K11" i="6" a="1"/>
  <c r="K14" i="6" a="1"/>
  <c r="K22" i="4" a="1"/>
  <c r="K26" i="5" a="1"/>
  <c r="K13" i="4" a="1"/>
  <c r="K16" i="6" a="1"/>
  <c r="K15" i="5" a="1"/>
  <c r="K7" i="6" a="1"/>
  <c r="K26" i="4" a="1"/>
  <c r="K32" i="4" a="1"/>
  <c r="K27" i="5" a="1"/>
  <c r="K5" i="5" a="1"/>
  <c r="K2" i="3" a="1"/>
  <c r="K3" i="4" a="1"/>
  <c r="K14" i="4" a="1"/>
  <c r="K8" i="4" a="1"/>
  <c r="K25" i="4" a="1"/>
  <c r="K17" i="6" a="1"/>
  <c r="K8" i="6" a="1"/>
  <c r="K28" i="5" a="1"/>
  <c r="K11" i="5" a="1"/>
  <c r="K31" i="5" a="1"/>
  <c r="K12" i="6" a="1"/>
  <c r="K19" i="6" a="1"/>
  <c r="K3" i="3" a="1"/>
  <c r="K17" i="4" a="1"/>
  <c r="K31" i="4" a="1"/>
  <c r="K7" i="4" a="1"/>
  <c r="K20" i="6" a="1"/>
  <c r="K30" i="4" a="1"/>
  <c r="K8" i="5" a="1"/>
  <c r="K4" i="3" a="1"/>
  <c r="K3" i="5" a="1"/>
  <c r="K9" i="4" a="1"/>
  <c r="K37" i="4" a="1"/>
  <c r="K2" i="6" a="1"/>
  <c r="K34" i="4" a="1"/>
  <c r="K5" i="3" a="1"/>
  <c r="K20" i="5" a="1"/>
  <c r="K3" i="6" a="1"/>
  <c r="K2" i="4" a="1"/>
  <c r="K25" i="5" a="1"/>
  <c r="K6" i="3" a="1"/>
  <c r="K29" i="4" a="1"/>
  <c r="K23" i="5" a="1"/>
  <c r="K7" i="3" a="1"/>
  <c r="K9" i="6" a="1"/>
  <c r="K12" i="4" a="1"/>
  <c r="K21" i="5" a="1"/>
  <c r="K35" i="4" a="1"/>
  <c r="K8" i="3" a="1"/>
  <c r="K24" i="4" a="1"/>
  <c r="K13" i="5" a="1"/>
  <c r="K13" i="6" a="1"/>
  <c r="K13" i="6" l="1"/>
  <c r="K13" i="5"/>
  <c r="K24" i="4"/>
  <c r="K8" i="3"/>
  <c r="K35" i="4"/>
  <c r="K21" i="5"/>
  <c r="K12" i="4"/>
  <c r="K9" i="6"/>
  <c r="K7" i="3"/>
  <c r="K23" i="5"/>
  <c r="K29" i="4"/>
  <c r="K6" i="3"/>
  <c r="K25" i="5"/>
  <c r="K2" i="4"/>
  <c r="K3" i="6"/>
  <c r="K20" i="5"/>
  <c r="K5" i="3"/>
  <c r="K34" i="4"/>
  <c r="K2" i="6"/>
  <c r="K37" i="4"/>
  <c r="K9" i="4"/>
  <c r="K3" i="5"/>
  <c r="K4" i="3"/>
  <c r="K8" i="5"/>
  <c r="K30" i="4"/>
  <c r="K20" i="6"/>
  <c r="K7" i="4"/>
  <c r="K31" i="4"/>
  <c r="K17" i="4"/>
  <c r="K3" i="3"/>
  <c r="K19" i="6"/>
  <c r="K12" i="6"/>
  <c r="K31" i="5"/>
  <c r="K11" i="5"/>
  <c r="K28" i="5"/>
  <c r="K8" i="6"/>
  <c r="K17" i="6"/>
  <c r="K25" i="4"/>
  <c r="K8" i="4"/>
  <c r="K14" i="4"/>
  <c r="K3" i="4"/>
  <c r="K2" i="3"/>
  <c r="K5" i="5"/>
  <c r="K27" i="5"/>
  <c r="K32" i="4"/>
  <c r="K26" i="4"/>
  <c r="K7" i="6"/>
  <c r="K15" i="5"/>
  <c r="K16" i="6"/>
  <c r="K13" i="4"/>
  <c r="K26" i="5"/>
  <c r="K22" i="4"/>
  <c r="K14" i="6"/>
  <c r="K11" i="6"/>
  <c r="K36" i="4"/>
  <c r="K12" i="5"/>
  <c r="K23" i="4"/>
  <c r="K6" i="4"/>
  <c r="K32" i="5"/>
  <c r="K10" i="4"/>
  <c r="K7" i="5"/>
  <c r="K18" i="5"/>
  <c r="K4" i="5"/>
  <c r="K33" i="4"/>
  <c r="K10" i="6"/>
  <c r="K15" i="3"/>
  <c r="K17" i="5"/>
  <c r="K16" i="5"/>
  <c r="K28" i="4"/>
  <c r="K6" i="5"/>
  <c r="K14" i="3"/>
  <c r="K18" i="4"/>
  <c r="K15" i="4"/>
  <c r="K13" i="3"/>
  <c r="K15" i="6"/>
  <c r="K14" i="5"/>
  <c r="K29" i="5"/>
  <c r="K12" i="3"/>
  <c r="K4" i="6"/>
  <c r="K22" i="5"/>
  <c r="K4" i="4"/>
  <c r="K2" i="5"/>
  <c r="K11" i="3"/>
  <c r="K18" i="6"/>
  <c r="K16" i="4"/>
  <c r="K19" i="5"/>
  <c r="K11" i="4"/>
  <c r="K24" i="5"/>
  <c r="K10" i="5"/>
  <c r="K21" i="4"/>
  <c r="K10" i="3"/>
  <c r="K9" i="5"/>
  <c r="K19" i="4"/>
  <c r="K27" i="4"/>
  <c r="K5" i="4"/>
  <c r="K9" i="3"/>
  <c r="K5" i="6"/>
  <c r="K6" i="6"/>
  <c r="K33" i="5"/>
  <c r="K30" i="5"/>
  <c r="K20" i="4"/>
  <c r="M3" i="5" a="1"/>
  <c r="P3" i="5" a="1"/>
  <c r="L3" i="5" a="1"/>
  <c r="N59" i="5" a="1"/>
  <c r="N22" i="5" a="1"/>
  <c r="N101" i="5" a="1"/>
  <c r="N50" i="5" a="1"/>
  <c r="N90" i="5" a="1"/>
  <c r="N11" i="5" a="1"/>
  <c r="N78" i="5" a="1"/>
  <c r="N56" i="5" a="1"/>
  <c r="N66" i="5" a="1"/>
  <c r="N74" i="5" a="1"/>
  <c r="N79" i="5" a="1"/>
  <c r="N20" i="5" a="1"/>
  <c r="N91" i="5" a="1"/>
  <c r="N15" i="5" a="1"/>
  <c r="N18" i="5" a="1"/>
  <c r="N116" i="5" a="1"/>
  <c r="N68" i="5" a="1"/>
  <c r="N57" i="5" a="1"/>
  <c r="N95" i="5" a="1"/>
  <c r="N64" i="5" a="1"/>
  <c r="N89" i="5" a="1"/>
  <c r="N71" i="5" a="1"/>
  <c r="N24" i="5" a="1"/>
  <c r="N60" i="5" a="1"/>
  <c r="N86" i="5" a="1"/>
  <c r="N92" i="5" a="1"/>
  <c r="N104" i="5" a="1"/>
  <c r="N77" i="5" a="1"/>
  <c r="N48" i="5" a="1"/>
  <c r="N83" i="5" a="1"/>
  <c r="N62" i="5" a="1"/>
  <c r="N122" i="5" a="1"/>
  <c r="N73" i="5" a="1"/>
  <c r="N39" i="5" a="1"/>
  <c r="N115" i="5" a="1"/>
  <c r="N94" i="5" a="1"/>
  <c r="N107" i="5" a="1"/>
  <c r="N45" i="5" a="1"/>
  <c r="N127" i="5" a="1"/>
  <c r="N7" i="5" a="1"/>
  <c r="N76" i="5" a="1"/>
  <c r="N105" i="5" a="1"/>
  <c r="N69" i="5" a="1"/>
  <c r="N97" i="5" a="1"/>
  <c r="N35" i="5" a="1"/>
  <c r="N106" i="5" a="1"/>
  <c r="N29" i="5" a="1"/>
  <c r="N33" i="5" a="1"/>
  <c r="N100" i="5" a="1"/>
  <c r="N17" i="5" a="1"/>
  <c r="N117" i="5" a="1"/>
  <c r="N14" i="5" a="1"/>
  <c r="N40" i="5" a="1"/>
  <c r="N21" i="5" a="1"/>
  <c r="N96" i="5" a="1"/>
  <c r="N25" i="5" a="1"/>
  <c r="N63" i="5" a="1"/>
  <c r="N53" i="5" a="1"/>
  <c r="N10" i="5" a="1"/>
  <c r="N43" i="5" a="1"/>
  <c r="N36" i="5" a="1"/>
  <c r="N80" i="5" a="1"/>
  <c r="N52" i="5" a="1"/>
  <c r="N9" i="5" a="1"/>
  <c r="N51" i="5" a="1"/>
  <c r="N87" i="5" a="1"/>
  <c r="N112" i="5" a="1"/>
  <c r="N99" i="5" a="1"/>
  <c r="N32" i="5" a="1"/>
  <c r="N16" i="5" a="1"/>
  <c r="N72" i="5" a="1"/>
  <c r="N31" i="5" a="1"/>
  <c r="N2" i="5" a="1"/>
  <c r="N61" i="5" a="1"/>
  <c r="N65" i="5" a="1"/>
  <c r="N81" i="5" a="1"/>
  <c r="N109" i="5" a="1"/>
  <c r="N42" i="5" a="1"/>
  <c r="N26" i="5" a="1"/>
  <c r="N49" i="5" a="1"/>
  <c r="N47" i="5" a="1"/>
  <c r="N67" i="5" a="1"/>
  <c r="N108" i="5" a="1"/>
  <c r="N125" i="5" a="1"/>
  <c r="N27" i="5" a="1"/>
  <c r="N5" i="5" a="1"/>
  <c r="N19" i="5" a="1"/>
  <c r="N23" i="5" a="1"/>
  <c r="N118" i="5" a="1"/>
  <c r="N13" i="5" a="1"/>
  <c r="N4" i="5" a="1"/>
  <c r="N30" i="5" a="1"/>
  <c r="N38" i="5" a="1"/>
  <c r="N70" i="5" a="1"/>
  <c r="N93" i="5" a="1"/>
  <c r="N41" i="5" a="1"/>
  <c r="N34" i="5" a="1"/>
  <c r="N84" i="5" a="1"/>
  <c r="N126" i="5" a="1"/>
  <c r="N8" i="5" a="1"/>
  <c r="N37" i="5" a="1"/>
  <c r="N54" i="5" a="1"/>
  <c r="N102" i="5" a="1"/>
  <c r="N58" i="5" a="1"/>
  <c r="N119" i="5" a="1"/>
  <c r="N3" i="5" a="1"/>
  <c r="N98" i="5" a="1"/>
  <c r="N110" i="5" a="1"/>
  <c r="N55" i="5" a="1"/>
  <c r="N114" i="5" a="1"/>
  <c r="N44" i="5" a="1"/>
  <c r="N82" i="5" a="1"/>
  <c r="N46" i="5" a="1"/>
  <c r="N113" i="5" a="1"/>
  <c r="N75" i="5" a="1"/>
  <c r="N85" i="5" a="1"/>
  <c r="N103" i="5" a="1"/>
  <c r="N120" i="5" a="1"/>
  <c r="N28" i="5" a="1"/>
  <c r="N6" i="5" a="1"/>
  <c r="N12" i="5" a="1"/>
  <c r="N124" i="5" a="1"/>
  <c r="N121" i="5" a="1"/>
  <c r="N123" i="5" a="1"/>
  <c r="N111" i="5" a="1"/>
  <c r="N88" i="5" a="1"/>
  <c r="L3" i="3" a="1"/>
  <c r="P3" i="3" a="1"/>
  <c r="M3" i="3" a="1"/>
  <c r="N78" i="3" a="1"/>
  <c r="N35" i="3" a="1"/>
  <c r="N36" i="3" a="1"/>
  <c r="N22" i="3" a="1"/>
  <c r="N108" i="3" a="1"/>
  <c r="N119" i="3" a="1"/>
  <c r="N55" i="3" a="1"/>
  <c r="N109" i="3" a="1"/>
  <c r="N107" i="3" a="1"/>
  <c r="N57" i="3" a="1"/>
  <c r="N77" i="3" a="1"/>
  <c r="N11" i="3" a="1"/>
  <c r="N125" i="3" a="1"/>
  <c r="N13" i="3" a="1"/>
  <c r="N97" i="3" a="1"/>
  <c r="N29" i="3" a="1"/>
  <c r="N81" i="3" a="1"/>
  <c r="N31" i="3" a="1"/>
  <c r="N110" i="3" a="1"/>
  <c r="N94" i="3" a="1"/>
  <c r="N46" i="3" a="1"/>
  <c r="N20" i="3" a="1"/>
  <c r="N10" i="3" a="1"/>
  <c r="N49" i="3" a="1"/>
  <c r="N62" i="3" a="1"/>
  <c r="N121" i="3" a="1"/>
  <c r="N118" i="3" a="1"/>
  <c r="N113" i="3" a="1"/>
  <c r="N27" i="3" a="1"/>
  <c r="N117" i="3" a="1"/>
  <c r="N26" i="3" a="1"/>
  <c r="N34" i="3" a="1"/>
  <c r="N39" i="3" a="1"/>
  <c r="N45" i="3" a="1"/>
  <c r="N83" i="3" a="1"/>
  <c r="N58" i="3" a="1"/>
  <c r="N80" i="3" a="1"/>
  <c r="N21" i="3" a="1"/>
  <c r="N85" i="3" a="1"/>
  <c r="N18" i="3" a="1"/>
  <c r="N66" i="3" a="1"/>
  <c r="N89" i="3" a="1"/>
  <c r="N3" i="3" a="1"/>
  <c r="N123" i="3" a="1"/>
  <c r="N96" i="3" a="1"/>
  <c r="N69" i="3" a="1"/>
  <c r="N75" i="3" a="1"/>
  <c r="N112" i="3" a="1"/>
  <c r="N98" i="3" a="1"/>
  <c r="N74" i="3" a="1"/>
  <c r="N8" i="3" a="1"/>
  <c r="N16" i="3" a="1"/>
  <c r="N70" i="3" a="1"/>
  <c r="N87" i="3" a="1"/>
  <c r="N90" i="3" a="1"/>
  <c r="N23" i="3" a="1"/>
  <c r="N59" i="3" a="1"/>
  <c r="N99" i="3" a="1"/>
  <c r="N63" i="3" a="1"/>
  <c r="N51" i="3" a="1"/>
  <c r="N95" i="3" a="1"/>
  <c r="N41" i="3" a="1"/>
  <c r="N30" i="3" a="1"/>
  <c r="N72" i="3" a="1"/>
  <c r="N76" i="3" a="1"/>
  <c r="N65" i="3" a="1"/>
  <c r="N33" i="3" a="1"/>
  <c r="N17" i="3" a="1"/>
  <c r="N24" i="3" a="1"/>
  <c r="N60" i="3" a="1"/>
  <c r="N102" i="3" a="1"/>
  <c r="N25" i="3" a="1"/>
  <c r="N120" i="3" a="1"/>
  <c r="N4" i="3" a="1"/>
  <c r="N54" i="3" a="1"/>
  <c r="N126" i="3" a="1"/>
  <c r="N2" i="3" a="1"/>
  <c r="N86" i="3" a="1"/>
  <c r="N92" i="3" a="1"/>
  <c r="N67" i="3" a="1"/>
  <c r="N100" i="3" a="1"/>
  <c r="N32" i="3" a="1"/>
  <c r="N19" i="3" a="1"/>
  <c r="N114" i="3" a="1"/>
  <c r="N116" i="3" a="1"/>
  <c r="N5" i="3" a="1"/>
  <c r="N14" i="3" a="1"/>
  <c r="N124" i="3" a="1"/>
  <c r="N79" i="3" a="1"/>
  <c r="N40" i="3" a="1"/>
  <c r="N71" i="3" a="1"/>
  <c r="N6" i="3" a="1"/>
  <c r="N53" i="3" a="1"/>
  <c r="N93" i="3" a="1"/>
  <c r="N61" i="3" a="1"/>
  <c r="N42" i="3" a="1"/>
  <c r="N37" i="3" a="1"/>
  <c r="N104" i="3" a="1"/>
  <c r="N12" i="3" a="1"/>
  <c r="N111" i="3" a="1"/>
  <c r="N82" i="3" a="1"/>
  <c r="N122" i="3" a="1"/>
  <c r="N28" i="3" a="1"/>
  <c r="N38" i="3" a="1"/>
  <c r="N68" i="3" a="1"/>
  <c r="N106" i="3" a="1"/>
  <c r="N56" i="3" a="1"/>
  <c r="N73" i="3" a="1"/>
  <c r="N127" i="3" a="1"/>
  <c r="N47" i="3" a="1"/>
  <c r="N7" i="3" a="1"/>
  <c r="N52" i="3" a="1"/>
  <c r="N88" i="3" a="1"/>
  <c r="N9" i="3" a="1"/>
  <c r="N105" i="3" a="1"/>
  <c r="N103" i="3" a="1"/>
  <c r="N48" i="3" a="1"/>
  <c r="N91" i="3" a="1"/>
  <c r="N84" i="3" a="1"/>
  <c r="N115" i="3" a="1"/>
  <c r="N50" i="3" a="1"/>
  <c r="N15" i="3" a="1"/>
  <c r="N43" i="3" a="1"/>
  <c r="N64" i="3" a="1"/>
  <c r="N101" i="3" a="1"/>
  <c r="N44" i="3" a="1"/>
  <c r="M3" i="6" a="1"/>
  <c r="L3" i="6" a="1"/>
  <c r="P3" i="6" a="1"/>
  <c r="N25" i="6" a="1"/>
  <c r="N95" i="6" a="1"/>
  <c r="N114" i="6" a="1"/>
  <c r="N78" i="6" a="1"/>
  <c r="N39" i="6" a="1"/>
  <c r="N33" i="6" a="1"/>
  <c r="N65" i="6" a="1"/>
  <c r="N53" i="6" a="1"/>
  <c r="N69" i="6" a="1"/>
  <c r="N109" i="6" a="1"/>
  <c r="N32" i="6" a="1"/>
  <c r="N51" i="6" a="1"/>
  <c r="N44" i="6" a="1"/>
  <c r="N102" i="6" a="1"/>
  <c r="N83" i="6" a="1"/>
  <c r="N57" i="6" a="1"/>
  <c r="N87" i="6" a="1"/>
  <c r="N126" i="6" a="1"/>
  <c r="N104" i="6" a="1"/>
  <c r="N111" i="6" a="1"/>
  <c r="N50" i="6" a="1"/>
  <c r="N88" i="6" a="1"/>
  <c r="N73" i="6" a="1"/>
  <c r="N55" i="6" a="1"/>
  <c r="N38" i="6" a="1"/>
  <c r="N67" i="6" a="1"/>
  <c r="N112" i="6" a="1"/>
  <c r="N41" i="6" a="1"/>
  <c r="N101" i="6" a="1"/>
  <c r="N45" i="6" a="1"/>
  <c r="N62" i="6" a="1"/>
  <c r="N90" i="6" a="1"/>
  <c r="N121" i="6" a="1"/>
  <c r="N79" i="6" a="1"/>
  <c r="N108" i="6" a="1"/>
  <c r="N63" i="6" a="1"/>
  <c r="N98" i="6" a="1"/>
  <c r="N82" i="6" a="1"/>
  <c r="N36" i="6" a="1"/>
  <c r="N123" i="6" a="1"/>
  <c r="N106" i="6" a="1"/>
  <c r="N34" i="6" a="1"/>
  <c r="N49" i="6" a="1"/>
  <c r="N29" i="6" a="1"/>
  <c r="N58" i="6" a="1"/>
  <c r="N59" i="6" a="1"/>
  <c r="N74" i="6" a="1"/>
  <c r="N113" i="6" a="1"/>
  <c r="N96" i="6" a="1"/>
  <c r="N89" i="6" a="1"/>
  <c r="N72" i="6" a="1"/>
  <c r="N27" i="6" a="1"/>
  <c r="N100" i="6" a="1"/>
  <c r="N43" i="6" a="1"/>
  <c r="N97" i="6" a="1"/>
  <c r="N116" i="6" a="1"/>
  <c r="N110" i="6" a="1"/>
  <c r="N31" i="6" a="1"/>
  <c r="N42" i="6" a="1"/>
  <c r="N30" i="6" a="1"/>
  <c r="N124" i="6" a="1"/>
  <c r="N94" i="6" a="1"/>
  <c r="N80" i="6" a="1"/>
  <c r="N81" i="6" a="1"/>
  <c r="N61" i="6" a="1"/>
  <c r="N125" i="6" a="1"/>
  <c r="N35" i="6" a="1"/>
  <c r="N66" i="6" a="1"/>
  <c r="N115" i="6" a="1"/>
  <c r="N68" i="6" a="1"/>
  <c r="N117" i="6" a="1"/>
  <c r="N60" i="6" a="1"/>
  <c r="N56" i="6" a="1"/>
  <c r="N48" i="6" a="1"/>
  <c r="N84" i="6" a="1"/>
  <c r="N93" i="6" a="1"/>
  <c r="N120" i="6" a="1"/>
  <c r="N85" i="6" a="1"/>
  <c r="N70" i="6" a="1"/>
  <c r="N127" i="6" a="1"/>
  <c r="N91" i="6" a="1"/>
  <c r="N119" i="6" a="1"/>
  <c r="N64" i="6" a="1"/>
  <c r="N71" i="6" a="1"/>
  <c r="N40" i="6" a="1"/>
  <c r="N37" i="6" a="1"/>
  <c r="N47" i="6" a="1"/>
  <c r="N105" i="6" a="1"/>
  <c r="N86" i="6" a="1"/>
  <c r="N99" i="6" a="1"/>
  <c r="N103" i="6" a="1"/>
  <c r="N54" i="6" a="1"/>
  <c r="N76" i="6" a="1"/>
  <c r="N92" i="6" a="1"/>
  <c r="N75" i="6" a="1"/>
  <c r="N107" i="6" a="1"/>
  <c r="N28" i="6" a="1"/>
  <c r="N52" i="6" a="1"/>
  <c r="N46" i="6" a="1"/>
  <c r="N118" i="6" a="1"/>
  <c r="N26" i="6" a="1"/>
  <c r="N77" i="6" a="1"/>
  <c r="N122" i="6" a="1"/>
  <c r="N6" i="6" a="1"/>
  <c r="N16" i="6" a="1"/>
  <c r="N11" i="6" a="1"/>
  <c r="N22" i="6" a="1"/>
  <c r="N24" i="6" a="1"/>
  <c r="N9" i="6" a="1"/>
  <c r="N17" i="6" a="1"/>
  <c r="N19" i="6" a="1"/>
  <c r="N12" i="6" a="1"/>
  <c r="N8" i="6" a="1"/>
  <c r="N18" i="6" a="1"/>
  <c r="N13" i="6" a="1"/>
  <c r="N20" i="6" a="1"/>
  <c r="N23" i="6" a="1"/>
  <c r="N3" i="6" a="1"/>
  <c r="N4" i="6" a="1"/>
  <c r="N10" i="6" a="1"/>
  <c r="N21" i="6" a="1"/>
  <c r="N14" i="6" a="1"/>
  <c r="N2" i="6" a="1"/>
  <c r="N5" i="6" a="1"/>
  <c r="N15" i="6" a="1"/>
  <c r="N7" i="6" a="1"/>
  <c r="L3" i="4" a="1"/>
  <c r="M3" i="4" a="1"/>
  <c r="P3" i="4" a="1"/>
  <c r="N7" i="4" a="1"/>
  <c r="N23" i="4" a="1"/>
  <c r="N6" i="4" a="1"/>
  <c r="N40" i="4" a="1"/>
  <c r="N31" i="4" a="1"/>
  <c r="N61" i="4" a="1"/>
  <c r="N95" i="4" a="1"/>
  <c r="N79" i="4" a="1"/>
  <c r="N21" i="4" a="1"/>
  <c r="N10" i="4" a="1"/>
  <c r="N66" i="4" a="1"/>
  <c r="N27" i="4" a="1"/>
  <c r="N68" i="4" a="1"/>
  <c r="N62" i="4" a="1"/>
  <c r="N88" i="4" a="1"/>
  <c r="N114" i="4" a="1"/>
  <c r="N51" i="4" a="1"/>
  <c r="N77" i="4" a="1"/>
  <c r="N116" i="4" a="1"/>
  <c r="N4" i="4" a="1"/>
  <c r="N29" i="4" a="1"/>
  <c r="N115" i="4" a="1"/>
  <c r="N96" i="4" a="1"/>
  <c r="N87" i="4" a="1"/>
  <c r="N74" i="4" a="1"/>
  <c r="N119" i="4" a="1"/>
  <c r="N52" i="4" a="1"/>
  <c r="N106" i="4" a="1"/>
  <c r="N28" i="4" a="1"/>
  <c r="N98" i="4" a="1"/>
  <c r="N22" i="4" a="1"/>
  <c r="N110" i="4" a="1"/>
  <c r="N73" i="4" a="1"/>
  <c r="N123" i="4" a="1"/>
  <c r="N56" i="4" a="1"/>
  <c r="N108" i="4" a="1"/>
  <c r="N94" i="4" a="1"/>
  <c r="N48" i="4" a="1"/>
  <c r="N125" i="4" a="1"/>
  <c r="N72" i="4" a="1"/>
  <c r="N16" i="4" a="1"/>
  <c r="N86" i="4" a="1"/>
  <c r="N124" i="4" a="1"/>
  <c r="N103" i="4" a="1"/>
  <c r="N26" i="4" a="1"/>
  <c r="N20" i="4" a="1"/>
  <c r="N49" i="4" a="1"/>
  <c r="N37" i="4" a="1"/>
  <c r="N65" i="4" a="1"/>
  <c r="N24" i="4" a="1"/>
  <c r="N58" i="4" a="1"/>
  <c r="N76" i="4" a="1"/>
  <c r="N90" i="4" a="1"/>
  <c r="N75" i="4" a="1"/>
  <c r="N15" i="4" a="1"/>
  <c r="N82" i="4" a="1"/>
  <c r="N70" i="4" a="1"/>
  <c r="N85" i="4" a="1"/>
  <c r="N5" i="4" a="1"/>
  <c r="N122" i="4" a="1"/>
  <c r="N2" i="4" a="1"/>
  <c r="N113" i="4" a="1"/>
  <c r="N91" i="4" a="1"/>
  <c r="N47" i="4" a="1"/>
  <c r="N60" i="4" a="1"/>
  <c r="N81" i="4" a="1"/>
  <c r="N54" i="4" a="1"/>
  <c r="N69" i="4" a="1"/>
  <c r="N89" i="4" a="1"/>
  <c r="N127" i="4" a="1"/>
  <c r="N104" i="4" a="1"/>
  <c r="N41" i="4" a="1"/>
  <c r="N102" i="4" a="1"/>
  <c r="N118" i="4" a="1"/>
  <c r="N44" i="4" a="1"/>
  <c r="N11" i="4" a="1"/>
  <c r="N117" i="4" a="1"/>
  <c r="N32" i="4" a="1"/>
  <c r="N30" i="4" a="1"/>
  <c r="N57" i="4" a="1"/>
  <c r="N59" i="4" a="1"/>
  <c r="N35" i="4" a="1"/>
  <c r="N99" i="4" a="1"/>
  <c r="N46" i="4" a="1"/>
  <c r="N18" i="4" a="1"/>
  <c r="N121" i="4" a="1"/>
  <c r="N97" i="4" a="1"/>
  <c r="N107" i="4" a="1"/>
  <c r="N53" i="4" a="1"/>
  <c r="N34" i="4" a="1"/>
  <c r="N112" i="4" a="1"/>
  <c r="N38" i="4" a="1"/>
  <c r="N17" i="4" a="1"/>
  <c r="N50" i="4" a="1"/>
  <c r="N8" i="4" a="1"/>
  <c r="N25" i="4" a="1"/>
  <c r="N71" i="4" a="1"/>
  <c r="N36" i="4" a="1"/>
  <c r="N84" i="4" a="1"/>
  <c r="N64" i="4" a="1"/>
  <c r="N78" i="4" a="1"/>
  <c r="N33" i="4" a="1"/>
  <c r="N12" i="4" a="1"/>
  <c r="N55" i="4" a="1"/>
  <c r="N3" i="4" a="1"/>
  <c r="N45" i="4" a="1"/>
  <c r="N42" i="4" a="1"/>
  <c r="N43" i="4" a="1"/>
  <c r="N83" i="4" a="1"/>
  <c r="N120" i="4" a="1"/>
  <c r="N111" i="4" a="1"/>
  <c r="N80" i="4" a="1"/>
  <c r="N9" i="4" a="1"/>
  <c r="N92" i="4" a="1"/>
  <c r="N100" i="4" a="1"/>
  <c r="N67" i="4" a="1"/>
  <c r="N13" i="4" a="1"/>
  <c r="N126" i="4" a="1"/>
  <c r="N105" i="4" a="1"/>
  <c r="N93" i="4" a="1"/>
  <c r="N101" i="4" a="1"/>
  <c r="N39" i="4" a="1"/>
  <c r="N109" i="4" a="1"/>
  <c r="N19" i="4" a="1"/>
  <c r="N14" i="4" a="1"/>
  <c r="N63" i="4" a="1"/>
  <c r="N63" i="4" l="1"/>
  <c r="N14" i="4"/>
  <c r="N19" i="4"/>
  <c r="N109" i="4"/>
  <c r="N39" i="4"/>
  <c r="N101" i="4"/>
  <c r="N93" i="4"/>
  <c r="N105" i="4"/>
  <c r="N126" i="4"/>
  <c r="N13" i="4"/>
  <c r="N67" i="4"/>
  <c r="N100" i="4"/>
  <c r="N92" i="4"/>
  <c r="N9" i="4"/>
  <c r="N80" i="4"/>
  <c r="N111" i="4"/>
  <c r="N120" i="4"/>
  <c r="N83" i="4"/>
  <c r="N43" i="4"/>
  <c r="N42" i="4"/>
  <c r="N45" i="4"/>
  <c r="N3" i="4"/>
  <c r="N55" i="4"/>
  <c r="N12" i="4"/>
  <c r="N33" i="4"/>
  <c r="N78" i="4"/>
  <c r="N64" i="4"/>
  <c r="N84" i="4"/>
  <c r="N36" i="4"/>
  <c r="N71" i="4"/>
  <c r="N25" i="4"/>
  <c r="N8" i="4"/>
  <c r="N50" i="4"/>
  <c r="N17" i="4"/>
  <c r="N38" i="4"/>
  <c r="N112" i="4"/>
  <c r="N34" i="4"/>
  <c r="N53" i="4"/>
  <c r="N107" i="4"/>
  <c r="N97" i="4"/>
  <c r="N121" i="4"/>
  <c r="N18" i="4"/>
  <c r="N46" i="4"/>
  <c r="N99" i="4"/>
  <c r="N35" i="4"/>
  <c r="N59" i="4"/>
  <c r="N57" i="4"/>
  <c r="N30" i="4"/>
  <c r="N32" i="4"/>
  <c r="N117" i="4"/>
  <c r="N11" i="4"/>
  <c r="N44" i="4"/>
  <c r="N118" i="4"/>
  <c r="N102" i="4"/>
  <c r="N41" i="4"/>
  <c r="N104" i="4"/>
  <c r="N127" i="4"/>
  <c r="N89" i="4"/>
  <c r="N69" i="4"/>
  <c r="N54" i="4"/>
  <c r="N81" i="4"/>
  <c r="N60" i="4"/>
  <c r="N47" i="4"/>
  <c r="N91" i="4"/>
  <c r="N113" i="4"/>
  <c r="N2" i="4"/>
  <c r="N122" i="4"/>
  <c r="N5" i="4"/>
  <c r="N85" i="4"/>
  <c r="N70" i="4"/>
  <c r="N82" i="4"/>
  <c r="N15" i="4"/>
  <c r="N75" i="4"/>
  <c r="N90" i="4"/>
  <c r="N76" i="4"/>
  <c r="N58" i="4"/>
  <c r="N24" i="4"/>
  <c r="N65" i="4"/>
  <c r="N37" i="4"/>
  <c r="N49" i="4"/>
  <c r="N20" i="4"/>
  <c r="N26" i="4"/>
  <c r="N103" i="4"/>
  <c r="N124" i="4"/>
  <c r="N86" i="4"/>
  <c r="N16" i="4"/>
  <c r="N72" i="4"/>
  <c r="N125" i="4"/>
  <c r="N48" i="4"/>
  <c r="N94" i="4"/>
  <c r="N108" i="4"/>
  <c r="N56" i="4"/>
  <c r="N123" i="4"/>
  <c r="N73" i="4"/>
  <c r="N110" i="4"/>
  <c r="N22" i="4"/>
  <c r="N98" i="4"/>
  <c r="N28" i="4"/>
  <c r="N106" i="4"/>
  <c r="N52" i="4"/>
  <c r="N119" i="4"/>
  <c r="N74" i="4"/>
  <c r="N87" i="4"/>
  <c r="N96" i="4"/>
  <c r="N115" i="4"/>
  <c r="N29" i="4"/>
  <c r="N4" i="4"/>
  <c r="N116" i="4"/>
  <c r="N77" i="4"/>
  <c r="N51" i="4"/>
  <c r="N114" i="4"/>
  <c r="N88" i="4"/>
  <c r="N62" i="4"/>
  <c r="N68" i="4"/>
  <c r="N27" i="4"/>
  <c r="N66" i="4"/>
  <c r="N10" i="4"/>
  <c r="N21" i="4"/>
  <c r="N79" i="4"/>
  <c r="N95" i="4"/>
  <c r="N61" i="4"/>
  <c r="N31" i="4"/>
  <c r="N40" i="4"/>
  <c r="N6" i="4"/>
  <c r="N23" i="4"/>
  <c r="N7" i="4"/>
  <c r="P3" i="4"/>
  <c r="M3" i="4"/>
  <c r="L3" i="4"/>
  <c r="N7" i="6"/>
  <c r="N15" i="6"/>
  <c r="N5" i="6"/>
  <c r="N2" i="6"/>
  <c r="N14" i="6"/>
  <c r="N21" i="6"/>
  <c r="N10" i="6"/>
  <c r="N4" i="6"/>
  <c r="N3" i="6"/>
  <c r="N23" i="6"/>
  <c r="N20" i="6"/>
  <c r="N13" i="6"/>
  <c r="N18" i="6"/>
  <c r="N8" i="6"/>
  <c r="N12" i="6"/>
  <c r="N19" i="6"/>
  <c r="N17" i="6"/>
  <c r="N9" i="6"/>
  <c r="N24" i="6"/>
  <c r="N22" i="6"/>
  <c r="N11" i="6"/>
  <c r="N16" i="6"/>
  <c r="N6" i="6"/>
  <c r="N122" i="6"/>
  <c r="N77" i="6"/>
  <c r="N26" i="6"/>
  <c r="N118" i="6"/>
  <c r="N46" i="6"/>
  <c r="N52" i="6"/>
  <c r="N28" i="6"/>
  <c r="N107" i="6"/>
  <c r="N75" i="6"/>
  <c r="N92" i="6"/>
  <c r="N76" i="6"/>
  <c r="N54" i="6"/>
  <c r="N103" i="6"/>
  <c r="N99" i="6"/>
  <c r="N86" i="6"/>
  <c r="N105" i="6"/>
  <c r="N47" i="6"/>
  <c r="N37" i="6"/>
  <c r="N40" i="6"/>
  <c r="N71" i="6"/>
  <c r="N64" i="6"/>
  <c r="N119" i="6"/>
  <c r="N91" i="6"/>
  <c r="N127" i="6"/>
  <c r="N70" i="6"/>
  <c r="N85" i="6"/>
  <c r="N120" i="6"/>
  <c r="N93" i="6"/>
  <c r="N84" i="6"/>
  <c r="N48" i="6"/>
  <c r="N56" i="6"/>
  <c r="N60" i="6"/>
  <c r="N117" i="6"/>
  <c r="N68" i="6"/>
  <c r="N115" i="6"/>
  <c r="N66" i="6"/>
  <c r="N35" i="6"/>
  <c r="N125" i="6"/>
  <c r="N61" i="6"/>
  <c r="N81" i="6"/>
  <c r="N80" i="6"/>
  <c r="N94" i="6"/>
  <c r="N124" i="6"/>
  <c r="N30" i="6"/>
  <c r="N42" i="6"/>
  <c r="N31" i="6"/>
  <c r="N110" i="6"/>
  <c r="N116" i="6"/>
  <c r="N97" i="6"/>
  <c r="N43" i="6"/>
  <c r="N100" i="6"/>
  <c r="N27" i="6"/>
  <c r="N72" i="6"/>
  <c r="N89" i="6"/>
  <c r="N96" i="6"/>
  <c r="N113" i="6"/>
  <c r="N74" i="6"/>
  <c r="N59" i="6"/>
  <c r="N58" i="6"/>
  <c r="N29" i="6"/>
  <c r="N49" i="6"/>
  <c r="N34" i="6"/>
  <c r="N106" i="6"/>
  <c r="N123" i="6"/>
  <c r="N36" i="6"/>
  <c r="N82" i="6"/>
  <c r="N98" i="6"/>
  <c r="N63" i="6"/>
  <c r="N108" i="6"/>
  <c r="N79" i="6"/>
  <c r="N121" i="6"/>
  <c r="N90" i="6"/>
  <c r="N62" i="6"/>
  <c r="N45" i="6"/>
  <c r="N101" i="6"/>
  <c r="N41" i="6"/>
  <c r="N112" i="6"/>
  <c r="N67" i="6"/>
  <c r="N38" i="6"/>
  <c r="N55" i="6"/>
  <c r="N73" i="6"/>
  <c r="N88" i="6"/>
  <c r="N50" i="6"/>
  <c r="N111" i="6"/>
  <c r="N104" i="6"/>
  <c r="N126" i="6"/>
  <c r="N87" i="6"/>
  <c r="N57" i="6"/>
  <c r="N83" i="6"/>
  <c r="N102" i="6"/>
  <c r="N44" i="6"/>
  <c r="N51" i="6"/>
  <c r="N32" i="6"/>
  <c r="N109" i="6"/>
  <c r="N69" i="6"/>
  <c r="N53" i="6"/>
  <c r="N65" i="6"/>
  <c r="N33" i="6"/>
  <c r="N39" i="6"/>
  <c r="N78" i="6"/>
  <c r="N114" i="6"/>
  <c r="N95" i="6"/>
  <c r="N25" i="6"/>
  <c r="P3" i="6"/>
  <c r="L3" i="6"/>
  <c r="M3" i="6"/>
  <c r="N44" i="3"/>
  <c r="N101" i="3"/>
  <c r="N64" i="3"/>
  <c r="N43" i="3"/>
  <c r="N15" i="3"/>
  <c r="N50" i="3"/>
  <c r="N115" i="3"/>
  <c r="N84" i="3"/>
  <c r="N91" i="3"/>
  <c r="N48" i="3"/>
  <c r="N103" i="3"/>
  <c r="N105" i="3"/>
  <c r="N9" i="3"/>
  <c r="N88" i="3"/>
  <c r="N52" i="3"/>
  <c r="N7" i="3"/>
  <c r="N47" i="3"/>
  <c r="N127" i="3"/>
  <c r="N73" i="3"/>
  <c r="N56" i="3"/>
  <c r="N106" i="3"/>
  <c r="N68" i="3"/>
  <c r="N38" i="3"/>
  <c r="N28" i="3"/>
  <c r="N122" i="3"/>
  <c r="N82" i="3"/>
  <c r="N111" i="3"/>
  <c r="N12" i="3"/>
  <c r="N104" i="3"/>
  <c r="N37" i="3"/>
  <c r="N42" i="3"/>
  <c r="N61" i="3"/>
  <c r="N93" i="3"/>
  <c r="N53" i="3"/>
  <c r="N6" i="3"/>
  <c r="N71" i="3"/>
  <c r="N40" i="3"/>
  <c r="N79" i="3"/>
  <c r="N124" i="3"/>
  <c r="N14" i="3"/>
  <c r="N5" i="3"/>
  <c r="N116" i="3"/>
  <c r="N114" i="3"/>
  <c r="N19" i="3"/>
  <c r="N32" i="3"/>
  <c r="N100" i="3"/>
  <c r="N67" i="3"/>
  <c r="N92" i="3"/>
  <c r="N86" i="3"/>
  <c r="N2" i="3"/>
  <c r="N126" i="3"/>
  <c r="N54" i="3"/>
  <c r="N4" i="3"/>
  <c r="N120" i="3"/>
  <c r="N25" i="3"/>
  <c r="N102" i="3"/>
  <c r="N60" i="3"/>
  <c r="N24" i="3"/>
  <c r="N17" i="3"/>
  <c r="N33" i="3"/>
  <c r="N65" i="3"/>
  <c r="N76" i="3"/>
  <c r="N72" i="3"/>
  <c r="N30" i="3"/>
  <c r="N41" i="3"/>
  <c r="N95" i="3"/>
  <c r="N51" i="3"/>
  <c r="N63" i="3"/>
  <c r="N99" i="3"/>
  <c r="N59" i="3"/>
  <c r="N23" i="3"/>
  <c r="N90" i="3"/>
  <c r="N87" i="3"/>
  <c r="N70" i="3"/>
  <c r="N16" i="3"/>
  <c r="N8" i="3"/>
  <c r="N74" i="3"/>
  <c r="N98" i="3"/>
  <c r="N112" i="3"/>
  <c r="N75" i="3"/>
  <c r="N69" i="3"/>
  <c r="N96" i="3"/>
  <c r="N123" i="3"/>
  <c r="N3" i="3"/>
  <c r="N89" i="3"/>
  <c r="N66" i="3"/>
  <c r="N18" i="3"/>
  <c r="N85" i="3"/>
  <c r="N21" i="3"/>
  <c r="N80" i="3"/>
  <c r="N58" i="3"/>
  <c r="N83" i="3"/>
  <c r="N45" i="3"/>
  <c r="N39" i="3"/>
  <c r="N34" i="3"/>
  <c r="N26" i="3"/>
  <c r="N117" i="3"/>
  <c r="N27" i="3"/>
  <c r="N113" i="3"/>
  <c r="N118" i="3"/>
  <c r="N121" i="3"/>
  <c r="N62" i="3"/>
  <c r="N49" i="3"/>
  <c r="N10" i="3"/>
  <c r="N20" i="3"/>
  <c r="N46" i="3"/>
  <c r="N94" i="3"/>
  <c r="N110" i="3"/>
  <c r="N31" i="3"/>
  <c r="N81" i="3"/>
  <c r="N29" i="3"/>
  <c r="N97" i="3"/>
  <c r="N13" i="3"/>
  <c r="N125" i="3"/>
  <c r="N11" i="3"/>
  <c r="N77" i="3"/>
  <c r="N57" i="3"/>
  <c r="N107" i="3"/>
  <c r="N109" i="3"/>
  <c r="N55" i="3"/>
  <c r="N119" i="3"/>
  <c r="N108" i="3"/>
  <c r="N22" i="3"/>
  <c r="N36" i="3"/>
  <c r="N35" i="3"/>
  <c r="N78" i="3"/>
  <c r="M3" i="3"/>
  <c r="P3" i="3"/>
  <c r="L3" i="3"/>
  <c r="N88" i="5"/>
  <c r="N111" i="5"/>
  <c r="N123" i="5"/>
  <c r="N121" i="5"/>
  <c r="N124" i="5"/>
  <c r="N12" i="5"/>
  <c r="N6" i="5"/>
  <c r="N28" i="5"/>
  <c r="N120" i="5"/>
  <c r="N103" i="5"/>
  <c r="N85" i="5"/>
  <c r="N75" i="5"/>
  <c r="N113" i="5"/>
  <c r="N46" i="5"/>
  <c r="N82" i="5"/>
  <c r="N44" i="5"/>
  <c r="N114" i="5"/>
  <c r="N55" i="5"/>
  <c r="N110" i="5"/>
  <c r="N98" i="5"/>
  <c r="N3" i="5"/>
  <c r="N119" i="5"/>
  <c r="N58" i="5"/>
  <c r="N102" i="5"/>
  <c r="N54" i="5"/>
  <c r="N37" i="5"/>
  <c r="N8" i="5"/>
  <c r="N126" i="5"/>
  <c r="N84" i="5"/>
  <c r="N34" i="5"/>
  <c r="N41" i="5"/>
  <c r="N93" i="5"/>
  <c r="N70" i="5"/>
  <c r="N38" i="5"/>
  <c r="N30" i="5"/>
  <c r="N4" i="5"/>
  <c r="N13" i="5"/>
  <c r="N118" i="5"/>
  <c r="N23" i="5"/>
  <c r="N19" i="5"/>
  <c r="N5" i="5"/>
  <c r="N27" i="5"/>
  <c r="N125" i="5"/>
  <c r="N108" i="5"/>
  <c r="N67" i="5"/>
  <c r="N47" i="5"/>
  <c r="N49" i="5"/>
  <c r="N26" i="5"/>
  <c r="N42" i="5"/>
  <c r="N109" i="5"/>
  <c r="N81" i="5"/>
  <c r="N65" i="5"/>
  <c r="N61" i="5"/>
  <c r="N2" i="5"/>
  <c r="N31" i="5"/>
  <c r="N72" i="5"/>
  <c r="N16" i="5"/>
  <c r="N32" i="5"/>
  <c r="N99" i="5"/>
  <c r="N112" i="5"/>
  <c r="N87" i="5"/>
  <c r="N51" i="5"/>
  <c r="N9" i="5"/>
  <c r="N52" i="5"/>
  <c r="N80" i="5"/>
  <c r="N36" i="5"/>
  <c r="N43" i="5"/>
  <c r="N10" i="5"/>
  <c r="N53" i="5"/>
  <c r="N63" i="5"/>
  <c r="N25" i="5"/>
  <c r="N96" i="5"/>
  <c r="N21" i="5"/>
  <c r="N40" i="5"/>
  <c r="N14" i="5"/>
  <c r="N117" i="5"/>
  <c r="N17" i="5"/>
  <c r="N100" i="5"/>
  <c r="N33" i="5"/>
  <c r="N29" i="5"/>
  <c r="N106" i="5"/>
  <c r="N35" i="5"/>
  <c r="N97" i="5"/>
  <c r="N69" i="5"/>
  <c r="N105" i="5"/>
  <c r="N76" i="5"/>
  <c r="N7" i="5"/>
  <c r="N127" i="5"/>
  <c r="N45" i="5"/>
  <c r="N107" i="5"/>
  <c r="N94" i="5"/>
  <c r="N115" i="5"/>
  <c r="N39" i="5"/>
  <c r="N73" i="5"/>
  <c r="N122" i="5"/>
  <c r="N62" i="5"/>
  <c r="N83" i="5"/>
  <c r="N48" i="5"/>
  <c r="N77" i="5"/>
  <c r="N104" i="5"/>
  <c r="N92" i="5"/>
  <c r="N86" i="5"/>
  <c r="N60" i="5"/>
  <c r="N24" i="5"/>
  <c r="N71" i="5"/>
  <c r="N89" i="5"/>
  <c r="N64" i="5"/>
  <c r="N95" i="5"/>
  <c r="N57" i="5"/>
  <c r="N68" i="5"/>
  <c r="N116" i="5"/>
  <c r="N18" i="5"/>
  <c r="N15" i="5"/>
  <c r="N91" i="5"/>
  <c r="N20" i="5"/>
  <c r="N79" i="5"/>
  <c r="N74" i="5"/>
  <c r="N66" i="5"/>
  <c r="N56" i="5"/>
  <c r="N78" i="5"/>
  <c r="N11" i="5"/>
  <c r="N90" i="5"/>
  <c r="N50" i="5"/>
  <c r="N101" i="5"/>
  <c r="N22" i="5"/>
  <c r="N59" i="5"/>
  <c r="L3" i="5"/>
  <c r="P3" i="5"/>
  <c r="M3" i="5"/>
  <c r="L4" i="4" a="1"/>
  <c r="M4" i="4" a="1"/>
  <c r="P4" i="4" a="1"/>
  <c r="P4" i="6" a="1"/>
  <c r="M4" i="6" a="1"/>
  <c r="L4" i="6" a="1"/>
  <c r="L4" i="3" a="1"/>
  <c r="P4" i="3" a="1"/>
  <c r="M4" i="3" a="1"/>
  <c r="M4" i="5" a="1"/>
  <c r="P4" i="5" a="1"/>
  <c r="L4" i="5" a="1"/>
  <c r="L4" i="5" l="1"/>
  <c r="P4" i="5"/>
  <c r="M4" i="5"/>
  <c r="M4" i="3"/>
  <c r="P4" i="3"/>
  <c r="L4" i="3"/>
  <c r="L4" i="6"/>
  <c r="M4" i="6"/>
  <c r="P4" i="6"/>
  <c r="P4" i="4"/>
  <c r="M4" i="4"/>
  <c r="L4" i="4"/>
  <c r="P5" i="5" a="1"/>
  <c r="M5" i="5" a="1"/>
  <c r="L5" i="5" a="1"/>
  <c r="L5" i="3" a="1"/>
  <c r="M5" i="3" a="1"/>
  <c r="P5" i="3" a="1"/>
  <c r="P5" i="6" a="1"/>
  <c r="M5" i="6" a="1"/>
  <c r="L5" i="6" a="1"/>
  <c r="L5" i="4" a="1"/>
  <c r="M5" i="4" a="1"/>
  <c r="P5" i="4" a="1"/>
  <c r="P5" i="4" l="1"/>
  <c r="M5" i="4"/>
  <c r="L5" i="4"/>
  <c r="L5" i="6"/>
  <c r="M5" i="6"/>
  <c r="P5" i="6"/>
  <c r="P5" i="3"/>
  <c r="M5" i="3"/>
  <c r="L5" i="3"/>
  <c r="L5" i="5"/>
  <c r="M5" i="5"/>
  <c r="P5" i="5"/>
  <c r="L6" i="4" a="1"/>
  <c r="P6" i="4" a="1"/>
  <c r="M6" i="4" a="1"/>
  <c r="P6" i="6" a="1"/>
  <c r="L6" i="6" a="1"/>
  <c r="M6" i="6" a="1"/>
  <c r="L6" i="3" a="1"/>
  <c r="M6" i="3" a="1"/>
  <c r="P6" i="3" a="1"/>
  <c r="P6" i="5" a="1"/>
  <c r="M6" i="5" a="1"/>
  <c r="L6" i="5" a="1"/>
  <c r="L6" i="5" l="1"/>
  <c r="M6" i="5"/>
  <c r="P6" i="5"/>
  <c r="P6" i="3"/>
  <c r="M6" i="3"/>
  <c r="L6" i="3"/>
  <c r="M6" i="6"/>
  <c r="L6" i="6"/>
  <c r="P6" i="6"/>
  <c r="M6" i="4"/>
  <c r="P6" i="4"/>
  <c r="L6" i="4"/>
  <c r="M7" i="5" a="1"/>
  <c r="L7" i="5" a="1"/>
  <c r="P7" i="5" a="1"/>
  <c r="P7" i="3" a="1"/>
  <c r="M7" i="3" a="1"/>
  <c r="L7" i="3" a="1"/>
  <c r="P7" i="6" a="1"/>
  <c r="M7" i="6" a="1"/>
  <c r="L7" i="6" a="1"/>
  <c r="M7" i="4" a="1"/>
  <c r="L7" i="4" a="1"/>
  <c r="P7" i="4" a="1"/>
  <c r="P7" i="4" l="1"/>
  <c r="L7" i="4"/>
  <c r="M7" i="4"/>
  <c r="L7" i="6"/>
  <c r="M7" i="6"/>
  <c r="P7" i="6"/>
  <c r="L7" i="3"/>
  <c r="M7" i="3"/>
  <c r="P7" i="3"/>
  <c r="P7" i="5"/>
  <c r="L7" i="5"/>
  <c r="M7" i="5"/>
  <c r="P8" i="4" a="1"/>
  <c r="L8" i="4" a="1"/>
  <c r="M8" i="4" a="1"/>
  <c r="P8" i="6" a="1"/>
  <c r="M8" i="6" a="1"/>
  <c r="L8" i="6" a="1"/>
  <c r="L8" i="3" a="1"/>
  <c r="M8" i="3" a="1"/>
  <c r="P8" i="3" a="1"/>
  <c r="P8" i="5" a="1"/>
  <c r="L8" i="5" a="1"/>
  <c r="M8" i="5" a="1"/>
  <c r="M8" i="5" l="1"/>
  <c r="L8" i="5"/>
  <c r="P8" i="5"/>
  <c r="P8" i="3"/>
  <c r="M8" i="3"/>
  <c r="L8" i="3"/>
  <c r="L8" i="6"/>
  <c r="M8" i="6"/>
  <c r="P8" i="6"/>
  <c r="M8" i="4"/>
  <c r="L8" i="4"/>
  <c r="P8" i="4"/>
  <c r="P9" i="5" a="1"/>
  <c r="M9" i="5" a="1"/>
  <c r="L9" i="5" a="1"/>
  <c r="M9" i="3" a="1"/>
  <c r="L9" i="3" a="1"/>
  <c r="P9" i="3" a="1"/>
  <c r="P9" i="6" a="1"/>
  <c r="L9" i="6" a="1"/>
  <c r="M9" i="6" a="1"/>
  <c r="M9" i="4" a="1"/>
  <c r="P9" i="4" a="1"/>
  <c r="L9" i="4" a="1"/>
  <c r="L9" i="4" l="1"/>
  <c r="P9" i="4"/>
  <c r="M9" i="4"/>
  <c r="M9" i="6"/>
  <c r="L9" i="6"/>
  <c r="P9" i="6"/>
  <c r="P9" i="3"/>
  <c r="L9" i="3"/>
  <c r="M9" i="3"/>
  <c r="L9" i="5"/>
  <c r="M9" i="5"/>
  <c r="P9" i="5"/>
  <c r="P10" i="4" a="1"/>
  <c r="L10" i="4" a="1"/>
  <c r="M10" i="4" a="1"/>
  <c r="P10" i="6" a="1"/>
  <c r="M10" i="6" a="1"/>
  <c r="L10" i="6" a="1"/>
  <c r="M10" i="3" a="1"/>
  <c r="L10" i="3" a="1"/>
  <c r="P10" i="3" a="1"/>
  <c r="L10" i="5" a="1"/>
  <c r="M10" i="5" a="1"/>
  <c r="P10" i="5" a="1"/>
  <c r="P10" i="5" l="1"/>
  <c r="M10" i="5"/>
  <c r="L10" i="5"/>
  <c r="P10" i="3"/>
  <c r="L10" i="3"/>
  <c r="M10" i="3"/>
  <c r="L10" i="6"/>
  <c r="M10" i="6"/>
  <c r="P10" i="6"/>
  <c r="M10" i="4"/>
  <c r="L10" i="4"/>
  <c r="P10" i="4"/>
  <c r="M11" i="5" a="1"/>
  <c r="L11" i="5" a="1"/>
  <c r="P11" i="5" a="1"/>
  <c r="M11" i="3" a="1"/>
  <c r="L11" i="3" a="1"/>
  <c r="P11" i="3" a="1"/>
  <c r="P11" i="6" a="1"/>
  <c r="M11" i="6" a="1"/>
  <c r="L11" i="6" a="1"/>
  <c r="M11" i="4" a="1"/>
  <c r="L11" i="4" a="1"/>
  <c r="P11" i="4" a="1"/>
  <c r="P11" i="4" l="1"/>
  <c r="L11" i="4"/>
  <c r="M11" i="4"/>
  <c r="L11" i="6"/>
  <c r="M11" i="6"/>
  <c r="P11" i="6"/>
  <c r="P11" i="3"/>
  <c r="L11" i="3"/>
  <c r="M11" i="3"/>
  <c r="P11" i="5"/>
  <c r="L11" i="5"/>
  <c r="M11" i="5"/>
  <c r="M12" i="4" a="1"/>
  <c r="P12" i="4" a="1"/>
  <c r="L12" i="4" a="1"/>
  <c r="P12" i="6" a="1"/>
  <c r="L12" i="6" a="1"/>
  <c r="M12" i="6" a="1"/>
  <c r="M12" i="3" a="1"/>
  <c r="L12" i="3" a="1"/>
  <c r="P12" i="3" a="1"/>
  <c r="L12" i="5" a="1"/>
  <c r="P12" i="5" a="1"/>
  <c r="M12" i="5" a="1"/>
  <c r="M12" i="5" l="1"/>
  <c r="P12" i="5"/>
  <c r="L12" i="5"/>
  <c r="P12" i="3"/>
  <c r="L12" i="3"/>
  <c r="M12" i="3"/>
  <c r="M12" i="6"/>
  <c r="L12" i="6"/>
  <c r="P12" i="6"/>
  <c r="L12" i="4"/>
  <c r="P12" i="4"/>
  <c r="M12" i="4"/>
  <c r="P13" i="5" a="1"/>
  <c r="M13" i="5" a="1"/>
  <c r="L13" i="5" a="1"/>
  <c r="M13" i="3" a="1"/>
  <c r="L13" i="3" a="1"/>
  <c r="P13" i="3" a="1"/>
  <c r="P13" i="6" a="1"/>
  <c r="M13" i="6" a="1"/>
  <c r="L13" i="6" a="1"/>
  <c r="P13" i="4" a="1"/>
  <c r="L13" i="4" a="1"/>
  <c r="M13" i="4" a="1"/>
  <c r="M13" i="4" l="1"/>
  <c r="L13" i="4"/>
  <c r="P13" i="4"/>
  <c r="L13" i="6"/>
  <c r="M13" i="6"/>
  <c r="P13" i="6"/>
  <c r="P13" i="3"/>
  <c r="L13" i="3"/>
  <c r="M13" i="3"/>
  <c r="L13" i="5"/>
  <c r="M13" i="5"/>
  <c r="P13" i="5"/>
  <c r="L14" i="4" a="1"/>
  <c r="M14" i="4" a="1"/>
  <c r="P14" i="4" a="1"/>
  <c r="P14" i="6" a="1"/>
  <c r="M14" i="6" a="1"/>
  <c r="L14" i="6" a="1"/>
  <c r="M14" i="3" a="1"/>
  <c r="L14" i="3" a="1"/>
  <c r="P14" i="3" a="1"/>
  <c r="L14" i="5" a="1"/>
  <c r="M14" i="5" a="1"/>
  <c r="P14" i="5" a="1"/>
  <c r="P14" i="5" l="1"/>
  <c r="M14" i="5"/>
  <c r="L14" i="5"/>
  <c r="P14" i="3"/>
  <c r="L14" i="3"/>
  <c r="M14" i="3"/>
  <c r="L14" i="6"/>
  <c r="M14" i="6"/>
  <c r="P14" i="6"/>
  <c r="P14" i="4"/>
  <c r="M14" i="4"/>
  <c r="L14" i="4"/>
  <c r="P15" i="5" a="1"/>
  <c r="M15" i="5" a="1"/>
  <c r="L15" i="5" a="1"/>
  <c r="M15" i="3" a="1"/>
  <c r="L15" i="3" a="1"/>
  <c r="P15" i="3" a="1"/>
  <c r="P15" i="6" a="1"/>
  <c r="M15" i="6" a="1"/>
  <c r="L15" i="6" a="1"/>
  <c r="L15" i="4" a="1"/>
  <c r="P15" i="4" a="1"/>
  <c r="M15" i="4" a="1"/>
  <c r="M15" i="4" l="1"/>
  <c r="P15" i="4"/>
  <c r="L15" i="4"/>
  <c r="L15" i="6"/>
  <c r="M15" i="6"/>
  <c r="P15" i="6"/>
  <c r="P15" i="3"/>
  <c r="L15" i="3"/>
  <c r="M15" i="3"/>
  <c r="L15" i="5"/>
  <c r="M15" i="5"/>
  <c r="P15" i="5"/>
  <c r="O1" i="3" a="1"/>
  <c r="P16" i="4" a="1"/>
  <c r="L16" i="4" a="1"/>
  <c r="M16" i="4" a="1"/>
  <c r="P16" i="6" a="1"/>
  <c r="M16" i="6" a="1"/>
  <c r="L16" i="6" a="1"/>
  <c r="P16" i="5" a="1"/>
  <c r="M16" i="5" a="1"/>
  <c r="L16" i="5" a="1"/>
  <c r="O1" i="3" l="1"/>
  <c r="L16" i="5"/>
  <c r="M16" i="5"/>
  <c r="P16" i="5"/>
  <c r="L16" i="6"/>
  <c r="M16" i="6"/>
  <c r="P16" i="6"/>
  <c r="M16" i="4"/>
  <c r="L16" i="4"/>
  <c r="P16" i="4"/>
  <c r="B5" i="9" a="1"/>
  <c r="M17" i="5" a="1"/>
  <c r="P17" i="5" a="1"/>
  <c r="L17" i="5" a="1"/>
  <c r="P17" i="6" a="1"/>
  <c r="M17" i="6" a="1"/>
  <c r="L17" i="6" a="1"/>
  <c r="M17" i="4" a="1"/>
  <c r="P17" i="4" a="1"/>
  <c r="L17" i="4" a="1"/>
  <c r="B5" i="9" l="1"/>
  <c r="L17" i="4"/>
  <c r="P17" i="4"/>
  <c r="M17" i="4"/>
  <c r="L17" i="6"/>
  <c r="M17" i="6"/>
  <c r="P17" i="6"/>
  <c r="L17" i="5"/>
  <c r="P17" i="5"/>
  <c r="M17" i="5"/>
  <c r="M18" i="4" a="1"/>
  <c r="P18" i="4" a="1"/>
  <c r="L18" i="4" a="1"/>
  <c r="P18" i="6" a="1"/>
  <c r="M18" i="6" a="1"/>
  <c r="L18" i="6" a="1"/>
  <c r="M18" i="5" a="1"/>
  <c r="L18" i="5" a="1"/>
  <c r="P18" i="5" a="1"/>
  <c r="P18" i="5" l="1"/>
  <c r="L18" i="5"/>
  <c r="M18" i="5"/>
  <c r="L18" i="6"/>
  <c r="M18" i="6"/>
  <c r="P18" i="6"/>
  <c r="L18" i="4"/>
  <c r="P18" i="4"/>
  <c r="M18" i="4"/>
  <c r="M19" i="5" a="1"/>
  <c r="P19" i="5" a="1"/>
  <c r="L19" i="5" a="1"/>
  <c r="P19" i="6" a="1"/>
  <c r="M19" i="6" a="1"/>
  <c r="L19" i="6" a="1"/>
  <c r="P19" i="4" a="1"/>
  <c r="M19" i="4" a="1"/>
  <c r="L19" i="4" a="1"/>
  <c r="L19" i="4" l="1"/>
  <c r="M19" i="4"/>
  <c r="P19" i="4"/>
  <c r="L19" i="6"/>
  <c r="M19" i="6"/>
  <c r="P19" i="6"/>
  <c r="L19" i="5"/>
  <c r="P19" i="5"/>
  <c r="M19" i="5"/>
  <c r="L20" i="4" a="1"/>
  <c r="P20" i="4" a="1"/>
  <c r="M20" i="4" a="1"/>
  <c r="P20" i="6" a="1"/>
  <c r="M20" i="6" a="1"/>
  <c r="L20" i="6" a="1"/>
  <c r="L20" i="5" a="1"/>
  <c r="P20" i="5" a="1"/>
  <c r="M20" i="5" a="1"/>
  <c r="M20" i="5" l="1"/>
  <c r="P20" i="5"/>
  <c r="L20" i="5"/>
  <c r="L20" i="6"/>
  <c r="M20" i="6"/>
  <c r="P20" i="6"/>
  <c r="M20" i="4"/>
  <c r="P20" i="4"/>
  <c r="L20" i="4"/>
  <c r="O1" i="6" a="1"/>
  <c r="P21" i="5" a="1"/>
  <c r="L21" i="5" a="1"/>
  <c r="M21" i="5" a="1"/>
  <c r="P21" i="4" a="1"/>
  <c r="L21" i="4" a="1"/>
  <c r="M21" i="4" a="1"/>
  <c r="O1" i="6" l="1"/>
  <c r="M21" i="4"/>
  <c r="L21" i="4"/>
  <c r="P21" i="4"/>
  <c r="M21" i="5"/>
  <c r="L21" i="5"/>
  <c r="P21" i="5"/>
  <c r="B8" i="9" a="1"/>
  <c r="B7" i="9" a="1"/>
  <c r="P22" i="4" a="1"/>
  <c r="L22" i="4" a="1"/>
  <c r="M22" i="4" a="1"/>
  <c r="M22" i="5" a="1"/>
  <c r="P22" i="5" a="1"/>
  <c r="L22" i="5" a="1"/>
  <c r="B8" i="9" l="1"/>
  <c r="B7" i="9"/>
  <c r="L22" i="5"/>
  <c r="P22" i="5"/>
  <c r="M22" i="5"/>
  <c r="M22" i="4"/>
  <c r="L22" i="4"/>
  <c r="P22" i="4"/>
  <c r="M23" i="5" a="1"/>
  <c r="P23" i="5" a="1"/>
  <c r="L23" i="5" a="1"/>
  <c r="P23" i="4" a="1"/>
  <c r="M23" i="4" a="1"/>
  <c r="L23" i="4" a="1"/>
  <c r="L23" i="4" l="1"/>
  <c r="M23" i="4"/>
  <c r="P23" i="4"/>
  <c r="L23" i="5"/>
  <c r="P23" i="5"/>
  <c r="M23" i="5"/>
  <c r="M24" i="4" a="1"/>
  <c r="L24" i="4" a="1"/>
  <c r="P24" i="4" a="1"/>
  <c r="M24" i="5" a="1"/>
  <c r="L24" i="5" a="1"/>
  <c r="P24" i="5" a="1"/>
  <c r="P24" i="5" l="1"/>
  <c r="L24" i="5"/>
  <c r="M24" i="5"/>
  <c r="P24" i="4"/>
  <c r="L24" i="4"/>
  <c r="M24" i="4"/>
  <c r="L25" i="5" a="1"/>
  <c r="P25" i="5" a="1"/>
  <c r="M25" i="5" a="1"/>
  <c r="P25" i="4" a="1"/>
  <c r="M25" i="4" a="1"/>
  <c r="L25" i="4" a="1"/>
  <c r="L25" i="4" l="1"/>
  <c r="M25" i="4"/>
  <c r="P25" i="4"/>
  <c r="M25" i="5"/>
  <c r="P25" i="5"/>
  <c r="L25" i="5"/>
  <c r="M26" i="4" a="1"/>
  <c r="P26" i="4" a="1"/>
  <c r="L26" i="4" a="1"/>
  <c r="M26" i="5" a="1"/>
  <c r="L26" i="5" a="1"/>
  <c r="P26" i="5" a="1"/>
  <c r="P26" i="5" l="1"/>
  <c r="L26" i="5"/>
  <c r="M26" i="5"/>
  <c r="L26" i="4"/>
  <c r="P26" i="4"/>
  <c r="M26" i="4"/>
  <c r="L27" i="5" a="1"/>
  <c r="P27" i="5" a="1"/>
  <c r="M27" i="5" a="1"/>
  <c r="P27" i="4" a="1"/>
  <c r="L27" i="4" a="1"/>
  <c r="M27" i="4" a="1"/>
  <c r="M27" i="4" l="1"/>
  <c r="L27" i="4"/>
  <c r="P27" i="4"/>
  <c r="M27" i="5"/>
  <c r="P27" i="5"/>
  <c r="L27" i="5"/>
  <c r="M28" i="4" a="1"/>
  <c r="P28" i="4" a="1"/>
  <c r="L28" i="4" a="1"/>
  <c r="P28" i="5" a="1"/>
  <c r="M28" i="5" a="1"/>
  <c r="L28" i="5" a="1"/>
  <c r="L28" i="5" l="1"/>
  <c r="M28" i="5"/>
  <c r="P28" i="5"/>
  <c r="L28" i="4"/>
  <c r="P28" i="4"/>
  <c r="M28" i="4"/>
  <c r="P29" i="5" a="1"/>
  <c r="L29" i="5" a="1"/>
  <c r="M29" i="5" a="1"/>
  <c r="L29" i="4" a="1"/>
  <c r="M29" i="4" a="1"/>
  <c r="P29" i="4" a="1"/>
  <c r="P29" i="4" l="1"/>
  <c r="M29" i="4"/>
  <c r="L29" i="4"/>
  <c r="M29" i="5"/>
  <c r="L29" i="5"/>
  <c r="P29" i="5"/>
  <c r="P30" i="4" a="1"/>
  <c r="L30" i="4" a="1"/>
  <c r="M30" i="4" a="1"/>
  <c r="L30" i="5" a="1"/>
  <c r="M30" i="5" a="1"/>
  <c r="P30" i="5" a="1"/>
  <c r="P30" i="5" l="1"/>
  <c r="M30" i="5"/>
  <c r="L30" i="5"/>
  <c r="M30" i="4"/>
  <c r="L30" i="4"/>
  <c r="P30" i="4"/>
  <c r="M31" i="5" a="1"/>
  <c r="P31" i="5" a="1"/>
  <c r="L31" i="5" a="1"/>
  <c r="P31" i="4" a="1"/>
  <c r="M31" i="4" a="1"/>
  <c r="L31" i="4" a="1"/>
  <c r="L31" i="4" l="1"/>
  <c r="M31" i="4"/>
  <c r="P31" i="4"/>
  <c r="L31" i="5"/>
  <c r="P31" i="5"/>
  <c r="M31" i="5"/>
  <c r="P32" i="4" a="1"/>
  <c r="L32" i="4" a="1"/>
  <c r="M32" i="4" a="1"/>
  <c r="L32" i="5" a="1"/>
  <c r="P32" i="5" a="1"/>
  <c r="M32" i="5" a="1"/>
  <c r="M32" i="5" l="1"/>
  <c r="P32" i="5"/>
  <c r="L32" i="5"/>
  <c r="M32" i="4"/>
  <c r="L32" i="4"/>
  <c r="P32" i="4"/>
  <c r="L33" i="5" a="1"/>
  <c r="P33" i="5" a="1"/>
  <c r="M33" i="5" a="1"/>
  <c r="M33" i="4" a="1"/>
  <c r="L33" i="4" a="1"/>
  <c r="P33" i="4" a="1"/>
  <c r="P33" i="4" l="1"/>
  <c r="L33" i="4"/>
  <c r="M33" i="4"/>
  <c r="M33" i="5"/>
  <c r="P33" i="5"/>
  <c r="L33" i="5"/>
  <c r="O1" i="5" a="1"/>
  <c r="P34" i="4" a="1"/>
  <c r="L34" i="4" a="1"/>
  <c r="M34" i="4" a="1"/>
  <c r="O1" i="5" l="1"/>
  <c r="M34" i="4"/>
  <c r="L34" i="4"/>
  <c r="P34" i="4"/>
  <c r="B6" i="9" a="1"/>
  <c r="M35" i="4" a="1"/>
  <c r="L35" i="4" a="1"/>
  <c r="P35" i="4" a="1"/>
  <c r="B6" i="9" l="1"/>
  <c r="P35" i="4"/>
  <c r="L35" i="4"/>
  <c r="M35" i="4"/>
  <c r="P36" i="4" a="1"/>
  <c r="M36" i="4" a="1"/>
  <c r="L36" i="4" a="1"/>
  <c r="L36" i="4" l="1"/>
  <c r="M36" i="4"/>
  <c r="P36" i="4"/>
  <c r="P37" i="4" a="1"/>
  <c r="M37" i="4" a="1"/>
  <c r="L37" i="4" a="1"/>
  <c r="L37" i="4" l="1"/>
  <c r="M37" i="4"/>
  <c r="P37" i="4"/>
  <c r="O1" i="4" a="1"/>
  <c r="O1" i="4" l="1"/>
  <c r="B4" i="9" a="1"/>
  <c r="B4" i="9" l="1"/>
  <c r="B1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<sst xmlns="http://schemas.openxmlformats.org/spreadsheetml/2006/main" count="767" uniqueCount="571">
  <si>
    <t>Type</t>
    <phoneticPr fontId="1"/>
  </si>
  <si>
    <t>Length</t>
    <phoneticPr fontId="1"/>
  </si>
  <si>
    <t>Data</t>
    <phoneticPr fontId="1"/>
  </si>
  <si>
    <t>Symbol</t>
    <phoneticPr fontId="1"/>
  </si>
  <si>
    <t>Unit</t>
    <phoneticPr fontId="1"/>
  </si>
  <si>
    <t>LSB</t>
    <phoneticPr fontId="1"/>
  </si>
  <si>
    <t>format</t>
    <phoneticPr fontId="1"/>
  </si>
  <si>
    <t>code</t>
    <phoneticPr fontId="1"/>
  </si>
  <si>
    <t>note</t>
    <phoneticPr fontId="1"/>
  </si>
  <si>
    <t>TWIcnv_swrt</t>
  </si>
  <si>
    <t>TWOcnv_swrt</t>
  </si>
  <si>
    <t>TC1cnv_swrt</t>
  </si>
  <si>
    <t>TCJcnv_swrt</t>
  </si>
  <si>
    <t>TC2cnv_swrt</t>
  </si>
  <si>
    <t>PWSchg</t>
  </si>
  <si>
    <t>PWEchg</t>
  </si>
  <si>
    <t>PWLchg</t>
  </si>
  <si>
    <t>DummyOut2</t>
  </si>
  <si>
    <t>DummyOut</t>
  </si>
  <si>
    <t>DriveMode.uc</t>
  </si>
  <si>
    <t>E2DN_ModelSelect003</t>
  </si>
  <si>
    <t>SWRT_UnitHP</t>
  </si>
  <si>
    <t>HydroDriveFLG1_swrt</t>
  </si>
  <si>
    <t>Hydro.CircHP_x10</t>
  </si>
  <si>
    <t>Hydro_capa.Qn_x100</t>
  </si>
  <si>
    <t>Hydro.MinTs_x10</t>
  </si>
  <si>
    <t>Hydro.MaxTs_x10</t>
  </si>
  <si>
    <t>Hydro.Tsw_x10</t>
  </si>
  <si>
    <t>OduDriveFLG1_swrt</t>
  </si>
  <si>
    <t>DummyOutArray</t>
  </si>
  <si>
    <t>Hydro_capa.T1m_ini_Ro</t>
  </si>
  <si>
    <t>Hydro_capa.Rn_x100</t>
  </si>
  <si>
    <t>Hydro_capa.SWRT_MaxRn</t>
  </si>
  <si>
    <t>Hydro_capa.SWRT_Delta_Rn_x100</t>
  </si>
  <si>
    <t>Hydro_capa.SWRT_GA_x100</t>
  </si>
  <si>
    <t>Hydro_capa.SWRT_Delta_Tc_x10</t>
  </si>
  <si>
    <t>Hydro_capa.SWRT_Delta_E_x10</t>
  </si>
  <si>
    <t>Hydro_capa.T10s_Hydro_Rn_adj</t>
  </si>
  <si>
    <t>Hydro_capa.T1m_Keep_Ro</t>
  </si>
  <si>
    <t>RxdSourceCode[1]</t>
  </si>
  <si>
    <t>RxdSourceCode[0]</t>
  </si>
  <si>
    <t>RxdVerNo[0]</t>
  </si>
  <si>
    <t>SWRT_SourceID_H</t>
  </si>
  <si>
    <t>SWRT_SourceID_L</t>
  </si>
  <si>
    <t>NextMMSVerNo</t>
  </si>
  <si>
    <t>id</t>
  </si>
  <si>
    <t>length</t>
  </si>
  <si>
    <t>placeholder</t>
  </si>
  <si>
    <t>description</t>
  </si>
  <si>
    <t>Ｈｅｘデータ(4bit)</t>
  </si>
  <si>
    <t>Ｈｅｘデータ(8bit)</t>
  </si>
  <si>
    <t>Ｈｅｘデータ(12bit)</t>
  </si>
  <si>
    <t>Ｈｅｘデータ(16bit)</t>
  </si>
  <si>
    <t>Ｈｅｘデータ(32bit) .net限定</t>
  </si>
  <si>
    <t>2進数(0bit) .net限定</t>
  </si>
  <si>
    <t>2進数(1bit) .net限定</t>
  </si>
  <si>
    <t>2進数(2bit) .net限定</t>
  </si>
  <si>
    <t>2進数(3bit) .net限定</t>
  </si>
  <si>
    <t>横(4bit)</t>
  </si>
  <si>
    <t>横(8bit)</t>
  </si>
  <si>
    <t>横(12bit)</t>
  </si>
  <si>
    <t>横(16bit)</t>
  </si>
  <si>
    <t>縦(4bit)</t>
  </si>
  <si>
    <t>縦(8bit)</t>
  </si>
  <si>
    <t>縦(12bit)</t>
  </si>
  <si>
    <t>縦(16bit)</t>
  </si>
  <si>
    <t>MATH00</t>
  </si>
  <si>
    <t>MATH01</t>
  </si>
  <si>
    <t>MATH02</t>
  </si>
  <si>
    <t>MATH03</t>
  </si>
  <si>
    <t>MATH04</t>
  </si>
  <si>
    <t>MATH05</t>
  </si>
  <si>
    <t>MATH06</t>
  </si>
  <si>
    <t>MATH07</t>
  </si>
  <si>
    <t>MATH08</t>
  </si>
  <si>
    <t>MATH09</t>
  </si>
  <si>
    <t>MATH10</t>
  </si>
  <si>
    <t>MATH11</t>
  </si>
  <si>
    <t>MATH12</t>
  </si>
  <si>
    <t>MATH13</t>
  </si>
  <si>
    <t>MATH14</t>
  </si>
  <si>
    <t>MATH15</t>
  </si>
  <si>
    <t>MATH16</t>
  </si>
  <si>
    <t>MATH17</t>
  </si>
  <si>
    <t>MATH18</t>
  </si>
  <si>
    <t>MATH19</t>
  </si>
  <si>
    <t>8bit sint</t>
  </si>
  <si>
    <t>16bit sint</t>
  </si>
  <si>
    <t>32bit sint .net限定</t>
  </si>
  <si>
    <t>符号付16bitで9.7固定小数点です。(xxx.xx) 2000と.net限定</t>
  </si>
  <si>
    <t>8bit usint</t>
  </si>
  <si>
    <t>16bit usint</t>
  </si>
  <si>
    <t>32bit usint .net限定</t>
  </si>
  <si>
    <t>符号なし8bitの0.6単位です。(xxx.x)  2000と.net限定</t>
  </si>
  <si>
    <t>符号なし8bitの0.1単位です。(xx.x)  2000と.net限定</t>
  </si>
  <si>
    <t>符号なし8bitの%表示です。(xx.x)  2000と.net限定</t>
  </si>
  <si>
    <t>符号なし8bitの0.01単位です。(x.xx)  2000と.net限定</t>
  </si>
  <si>
    <t>32bit浮動少数です。(xxxx.xx)</t>
  </si>
  <si>
    <t>16bit浮動少数です。(xxxx.xx)</t>
  </si>
  <si>
    <t>8bit符号付き指数(符号1+指数5+仮数2)です。(6桁整数表示)  2000と.net限定</t>
  </si>
  <si>
    <t>8bit符号無し指数(符号0+指数4+仮数4)です。(5桁整数表示)  2000と.net限定</t>
  </si>
  <si>
    <t>8bit符号付き指数(符号1+指数4+仮数3)です。(6桁整数表示)  2000と.net限定</t>
  </si>
  <si>
    <t>16bit符号無し指数(符号0+指数4+仮数12)です。(8桁整数表示)  2000と.net限定</t>
  </si>
  <si>
    <t>16bit符号無し指数(符号0+指数5+仮数11)です。(8桁整数表示)  2000と.net限定</t>
  </si>
  <si>
    <t>16bit符号付き指数(符号1+指数5+仮数10)です。(8桁整数表示)  2000と.net限定</t>
  </si>
  <si>
    <t>32bit浮動少数[Float]です。(+x.xxxe+x)(9桁表示)  2000と.net限定</t>
  </si>
  <si>
    <t>16bit浮動少数[Float16]です。(+x.xxxe+x)(9桁表示)  2000と.net限定</t>
  </si>
  <si>
    <t>16bit浮動少数[bFloat16]です。(+x.xxe+x)(8桁表示)  2000と.net限定</t>
  </si>
  <si>
    <t>MATH_00</t>
  </si>
  <si>
    <t>MATH_01</t>
  </si>
  <si>
    <t>MATH_02</t>
  </si>
  <si>
    <t>MATH_03</t>
  </si>
  <si>
    <t>MATH_04</t>
  </si>
  <si>
    <t>MATH_05</t>
  </si>
  <si>
    <t>MATH_06</t>
  </si>
  <si>
    <t>MATH_07</t>
  </si>
  <si>
    <t>MATH_08</t>
  </si>
  <si>
    <t>MATH_09</t>
  </si>
  <si>
    <t>MATH_10</t>
  </si>
  <si>
    <t>MATH_11</t>
  </si>
  <si>
    <t>MATH_12</t>
  </si>
  <si>
    <t>MATH_13</t>
  </si>
  <si>
    <t>MATH_14</t>
  </si>
  <si>
    <t>MATH_15</t>
  </si>
  <si>
    <t>MATH_16</t>
  </si>
  <si>
    <t>MATH_17</t>
  </si>
  <si>
    <t>MATH_18</t>
  </si>
  <si>
    <t>MATH_19</t>
  </si>
  <si>
    <t>FLOAT32_SCI9</t>
  </si>
  <si>
    <t>FLOAT16_SCI9</t>
  </si>
  <si>
    <t>BFLOAT16_SCI8</t>
  </si>
  <si>
    <t>Bin_Table_00</t>
  </si>
  <si>
    <t>Bin_Table_01</t>
  </si>
  <si>
    <t>Bin_Table_02</t>
  </si>
  <si>
    <t>Bin_Table_03</t>
  </si>
  <si>
    <t>Bin_Table_04</t>
  </si>
  <si>
    <t>Bin_Table_05</t>
  </si>
  <si>
    <t>Bin_Table_06</t>
  </si>
  <si>
    <t>Bin_Table_07</t>
  </si>
  <si>
    <t>Bin_Table_08</t>
  </si>
  <si>
    <t>Bin_Table_09</t>
  </si>
  <si>
    <t>Bin_Table_10</t>
  </si>
  <si>
    <t>Bin_Table_11</t>
  </si>
  <si>
    <t>Bin_Table_12</t>
  </si>
  <si>
    <t>Bin_Table_13</t>
  </si>
  <si>
    <t>Bin_Table_14</t>
  </si>
  <si>
    <t>Bin_Table_15</t>
  </si>
  <si>
    <t>Bin_Table_16</t>
  </si>
  <si>
    <t>Bin_Table_17</t>
  </si>
  <si>
    <t>Bin_Table_18</t>
  </si>
  <si>
    <t>Bin_Table_19</t>
  </si>
  <si>
    <t>Bin_Table_20</t>
  </si>
  <si>
    <t>Bin_Table_21</t>
  </si>
  <si>
    <t>Bin_Table_22</t>
  </si>
  <si>
    <t>Bin_Table_23</t>
  </si>
  <si>
    <t>Bin_Table_24</t>
  </si>
  <si>
    <t>Bin_Table_25</t>
  </si>
  <si>
    <t>Bin_Table_26</t>
  </si>
  <si>
    <t>Bin_Table_27</t>
  </si>
  <si>
    <t>Bin_Table_28</t>
  </si>
  <si>
    <t>Bin_Table_29</t>
  </si>
  <si>
    <t>Bin_Table_30</t>
  </si>
  <si>
    <t>Bin_Table_31</t>
  </si>
  <si>
    <t>Bin_Table_32</t>
  </si>
  <si>
    <t>Bin_Table_33</t>
  </si>
  <si>
    <t>Bin_Table_34</t>
  </si>
  <si>
    <t>Bin_Table_35</t>
  </si>
  <si>
    <t>Bin_Table_36</t>
  </si>
  <si>
    <t>Bin_Table_37</t>
  </si>
  <si>
    <t>Bin_Table_38</t>
  </si>
  <si>
    <t>Bin_Table_39</t>
  </si>
  <si>
    <t>Bin_Table_40</t>
  </si>
  <si>
    <t>Bin_Table_41</t>
  </si>
  <si>
    <t>Bin_Table_42</t>
  </si>
  <si>
    <t>Bin_Table_43</t>
  </si>
  <si>
    <t>Bin_Table_44</t>
  </si>
  <si>
    <t>Bin_Table_45</t>
  </si>
  <si>
    <t>Bin_Table_46</t>
  </si>
  <si>
    <t>Bin_Table_47</t>
  </si>
  <si>
    <t>Bin_Table_48</t>
  </si>
  <si>
    <t>Bin_Table_49</t>
  </si>
  <si>
    <t>Bin_Table_50</t>
  </si>
  <si>
    <t>Bin_Table_51</t>
  </si>
  <si>
    <t>Bin_Table_52</t>
  </si>
  <si>
    <t>Bin_Table_53</t>
  </si>
  <si>
    <t>Bin_Table_54</t>
  </si>
  <si>
    <t>Bin_Table_55</t>
  </si>
  <si>
    <t>Bin_Table_56</t>
  </si>
  <si>
    <t>Bin_Table_57</t>
  </si>
  <si>
    <t>Bin_Table_58</t>
  </si>
  <si>
    <t>Bin_Table_59</t>
  </si>
  <si>
    <t>Bin_Table_60</t>
  </si>
  <si>
    <t>Bin_Table_61</t>
  </si>
  <si>
    <t>Bin_Table_62</t>
  </si>
  <si>
    <t>Bin_Table_63</t>
  </si>
  <si>
    <t>Hex_4bit</t>
  </si>
  <si>
    <t>Hex_8bit</t>
  </si>
  <si>
    <t>Hex_12bit</t>
  </si>
  <si>
    <t>Hex_16bit</t>
  </si>
  <si>
    <t>Hex_32bit</t>
  </si>
  <si>
    <t>Bin_0bit</t>
  </si>
  <si>
    <t>Bin_1bit</t>
  </si>
  <si>
    <t>Bin_2bit</t>
  </si>
  <si>
    <t>Bin_3bit</t>
  </si>
  <si>
    <t>Horiz_4bit</t>
  </si>
  <si>
    <t>Horiz_8bit</t>
  </si>
  <si>
    <t>Horiz_12bit</t>
  </si>
  <si>
    <t>Horiz_16bit</t>
  </si>
  <si>
    <t>Verti_4bit</t>
  </si>
  <si>
    <t>Verti_8bit</t>
  </si>
  <si>
    <t>Verti_12bit</t>
  </si>
  <si>
    <t>Verti_16bit</t>
  </si>
  <si>
    <t>Verti_4bit_2</t>
  </si>
  <si>
    <t>x</t>
    <phoneticPr fontId="1"/>
  </si>
  <si>
    <t>xx</t>
    <phoneticPr fontId="1"/>
  </si>
  <si>
    <t>xxx</t>
    <phoneticPr fontId="1"/>
  </si>
  <si>
    <t>xxxx</t>
    <phoneticPr fontId="1"/>
  </si>
  <si>
    <t>xxxxxxxx</t>
    <phoneticPr fontId="1"/>
  </si>
  <si>
    <t>b</t>
    <phoneticPr fontId="1"/>
  </si>
  <si>
    <t>bbbb</t>
    <phoneticPr fontId="1"/>
  </si>
  <si>
    <t>bbbbbbbb</t>
    <phoneticPr fontId="1"/>
  </si>
  <si>
    <t>bbbbbbbbbbbb</t>
    <phoneticPr fontId="1"/>
  </si>
  <si>
    <t>bbbbbbbbbbbbbbbb</t>
    <phoneticPr fontId="1"/>
  </si>
  <si>
    <t>ddd.dd</t>
    <phoneticPr fontId="1"/>
  </si>
  <si>
    <t>dddd</t>
    <phoneticPr fontId="1"/>
  </si>
  <si>
    <t>dddd.d</t>
    <phoneticPr fontId="1"/>
  </si>
  <si>
    <t>ddddd.d</t>
    <phoneticPr fontId="1"/>
  </si>
  <si>
    <t>sint_8</t>
    <phoneticPr fontId="1"/>
  </si>
  <si>
    <t>sint_16</t>
    <phoneticPr fontId="1"/>
  </si>
  <si>
    <t>sint_32</t>
    <phoneticPr fontId="1"/>
  </si>
  <si>
    <t>sint_16_Q9_7</t>
    <phoneticPr fontId="1"/>
  </si>
  <si>
    <t>uint_8</t>
    <phoneticPr fontId="1"/>
  </si>
  <si>
    <t>uint_16</t>
    <phoneticPr fontId="1"/>
  </si>
  <si>
    <t>uint_32</t>
    <phoneticPr fontId="1"/>
  </si>
  <si>
    <t>443A6DB7</t>
    <phoneticPr fontId="1"/>
  </si>
  <si>
    <t>dddddd</t>
    <phoneticPr fontId="1"/>
  </si>
  <si>
    <t>ddddddddddd</t>
    <phoneticPr fontId="1"/>
  </si>
  <si>
    <t>dddd.dd</t>
    <phoneticPr fontId="1"/>
  </si>
  <si>
    <t>sddd</t>
    <phoneticPr fontId="1"/>
  </si>
  <si>
    <t>sddddd</t>
    <phoneticPr fontId="1"/>
  </si>
  <si>
    <t>sdddddddddd</t>
    <phoneticPr fontId="1"/>
  </si>
  <si>
    <t>U8_LSB_06</t>
    <phoneticPr fontId="1"/>
  </si>
  <si>
    <t>ddd.d</t>
    <phoneticPr fontId="1"/>
  </si>
  <si>
    <t>dd.d</t>
    <phoneticPr fontId="1"/>
  </si>
  <si>
    <t>U8_LSB_01</t>
    <phoneticPr fontId="1"/>
  </si>
  <si>
    <t>U8_LSB_001</t>
    <phoneticPr fontId="1"/>
  </si>
  <si>
    <t>U8_LSB_0392157</t>
    <phoneticPr fontId="1"/>
  </si>
  <si>
    <t>d.dd</t>
    <phoneticPr fontId="1"/>
  </si>
  <si>
    <t>F32</t>
    <phoneticPr fontId="1"/>
  </si>
  <si>
    <t>fffff.ff</t>
    <phoneticPr fontId="1"/>
  </si>
  <si>
    <t>8bit符号無し指数(符号0+指数5+仮数3)です。(6桁整数表示)  2000と.net限定</t>
    <phoneticPr fontId="1"/>
  </si>
  <si>
    <t>F16</t>
    <phoneticPr fontId="1"/>
  </si>
  <si>
    <t>UF16_e4m12</t>
    <phoneticPr fontId="1"/>
  </si>
  <si>
    <t>UF16_e5m11</t>
    <phoneticPr fontId="1"/>
  </si>
  <si>
    <t>SF16_e5m10</t>
    <phoneticPr fontId="1"/>
  </si>
  <si>
    <t>U8_e5m3</t>
    <phoneticPr fontId="1"/>
  </si>
  <si>
    <t>S8_e5m2</t>
    <phoneticPr fontId="1"/>
  </si>
  <si>
    <t>U8_e4m4</t>
    <phoneticPr fontId="1"/>
  </si>
  <si>
    <t>S8_e4m3</t>
    <phoneticPr fontId="1"/>
  </si>
  <si>
    <t>ddddd</t>
    <phoneticPr fontId="1"/>
  </si>
  <si>
    <t>dddddddd</t>
    <phoneticPr fontId="1"/>
  </si>
  <si>
    <t>sd.dddEsd</t>
    <phoneticPr fontId="1"/>
  </si>
  <si>
    <t>sd.ddEsd</t>
    <phoneticPr fontId="1"/>
  </si>
  <si>
    <t xml:space="preserve"> ***.*</t>
    <phoneticPr fontId="1"/>
  </si>
  <si>
    <t>***.*</t>
    <phoneticPr fontId="1"/>
  </si>
  <si>
    <t>**.**</t>
    <phoneticPr fontId="1"/>
  </si>
  <si>
    <t>***.**</t>
    <phoneticPr fontId="1"/>
  </si>
  <si>
    <t>****</t>
    <phoneticPr fontId="1"/>
  </si>
  <si>
    <t>***</t>
    <phoneticPr fontId="1"/>
  </si>
  <si>
    <t>d</t>
    <phoneticPr fontId="1"/>
  </si>
  <si>
    <t>＊＊</t>
    <phoneticPr fontId="1"/>
  </si>
  <si>
    <t>*</t>
    <phoneticPr fontId="1"/>
  </si>
  <si>
    <t>**</t>
    <phoneticPr fontId="1"/>
  </si>
  <si>
    <t>*****</t>
    <phoneticPr fontId="1"/>
  </si>
  <si>
    <t>＊＊＊</t>
    <phoneticPr fontId="1"/>
  </si>
  <si>
    <t>＊</t>
    <phoneticPr fontId="1"/>
  </si>
  <si>
    <t>******</t>
    <phoneticPr fontId="1"/>
  </si>
  <si>
    <t>****.*</t>
    <phoneticPr fontId="1"/>
  </si>
  <si>
    <t>**.*.*.*</t>
    <phoneticPr fontId="1"/>
  </si>
  <si>
    <t>**.*</t>
    <phoneticPr fontId="1"/>
  </si>
  <si>
    <t>**HP</t>
    <phoneticPr fontId="1"/>
  </si>
  <si>
    <t>＊＊**</t>
    <phoneticPr fontId="1"/>
  </si>
  <si>
    <t xml:space="preserve"> A*-*</t>
    <phoneticPr fontId="1"/>
  </si>
  <si>
    <t>GA500_SwrtData1.fc10_rx.buff</t>
  </si>
  <si>
    <t>GA500_SwrtData1.fc03_1_tx.buff</t>
  </si>
  <si>
    <t>GA500_SwrtData1.fc03_1_rx.buff</t>
  </si>
  <si>
    <t>GA500_SwrtData1.fc03_2_tx.buff</t>
  </si>
  <si>
    <t>GA500_SwrtData1.fc03_2_rx.buff</t>
  </si>
  <si>
    <t>GA500_SwrtData1.fc03_3_tx.buff</t>
  </si>
  <si>
    <t>GA500_SwrtData1.fc03_3_rx.buff</t>
  </si>
  <si>
    <t>GA500_SwrtData1.set_hz</t>
  </si>
  <si>
    <t>GA500_SwrtData1.mon_hz</t>
  </si>
  <si>
    <t>GA500_SwrtData1.run</t>
  </si>
  <si>
    <t>GA500_SwrtData2.set_hz</t>
  </si>
  <si>
    <t>GA500_SwrtData2.mon_hz</t>
  </si>
  <si>
    <t>GA500_SwrtData2.run</t>
  </si>
  <si>
    <t>ポンプ1-FC10送信バッファ</t>
    <rPh sb="9" eb="11">
      <t>ソウシン</t>
    </rPh>
    <phoneticPr fontId="1"/>
  </si>
  <si>
    <t>ポンプ1-FC10受信バッファ</t>
    <rPh sb="9" eb="11">
      <t>ジュシン</t>
    </rPh>
    <phoneticPr fontId="1"/>
  </si>
  <si>
    <t>ポンプ1-FC03-1送信バッファ</t>
    <rPh sb="11" eb="13">
      <t>ソウシン</t>
    </rPh>
    <phoneticPr fontId="1"/>
  </si>
  <si>
    <t>ポンプ1-FC03-1受信バッファ</t>
    <rPh sb="11" eb="13">
      <t>ジュシン</t>
    </rPh>
    <phoneticPr fontId="1"/>
  </si>
  <si>
    <t>ポンプ1-FC03-2送信バッファ</t>
    <rPh sb="11" eb="13">
      <t>ソウシン</t>
    </rPh>
    <phoneticPr fontId="1"/>
  </si>
  <si>
    <t>ポンプ1-FC03-2受信バッファ</t>
    <rPh sb="11" eb="13">
      <t>ジュシン</t>
    </rPh>
    <phoneticPr fontId="1"/>
  </si>
  <si>
    <t>ポンプ1-FC03-3送信バッファ</t>
    <rPh sb="11" eb="13">
      <t>ソウシン</t>
    </rPh>
    <phoneticPr fontId="1"/>
  </si>
  <si>
    <t>ポンプ1-FC03-3受信バッファ</t>
    <rPh sb="11" eb="13">
      <t>ジュシン</t>
    </rPh>
    <phoneticPr fontId="1"/>
  </si>
  <si>
    <t>ポンプ1-指令Hz</t>
    <rPh sb="5" eb="7">
      <t>シレイ</t>
    </rPh>
    <phoneticPr fontId="1"/>
  </si>
  <si>
    <t>ポンプ1-実Hz</t>
    <rPh sb="5" eb="6">
      <t>ジツ</t>
    </rPh>
    <phoneticPr fontId="1"/>
  </si>
  <si>
    <t>ポンプ1-運転停止</t>
    <rPh sb="5" eb="7">
      <t>ウンテン</t>
    </rPh>
    <rPh sb="7" eb="9">
      <t>テイシ</t>
    </rPh>
    <phoneticPr fontId="1"/>
  </si>
  <si>
    <t>ポンプ2-指令Hz</t>
    <phoneticPr fontId="1"/>
  </si>
  <si>
    <t>ポンプ2-実Hz</t>
    <phoneticPr fontId="1"/>
  </si>
  <si>
    <t>ポンプ2-運転停止</t>
    <phoneticPr fontId="1"/>
  </si>
  <si>
    <t>-</t>
    <phoneticPr fontId="1"/>
  </si>
  <si>
    <t>Hz</t>
    <phoneticPr fontId="1"/>
  </si>
  <si>
    <t>Hex_8bit</t>
    <phoneticPr fontId="1"/>
  </si>
  <si>
    <t>Hex_16bit</t>
    <phoneticPr fontId="1"/>
  </si>
  <si>
    <t>offset</t>
    <phoneticPr fontId="1"/>
  </si>
  <si>
    <t>size</t>
    <phoneticPr fontId="1"/>
  </si>
  <si>
    <t>bytes</t>
    <phoneticPr fontId="1"/>
  </si>
  <si>
    <t>address</t>
    <phoneticPr fontId="1"/>
  </si>
  <si>
    <t>残</t>
    <rPh sb="0" eb="1">
      <t>ザン</t>
    </rPh>
    <phoneticPr fontId="1"/>
  </si>
  <si>
    <t>使:13(空: 1)</t>
  </si>
  <si>
    <t>使: 8(空: 0)</t>
  </si>
  <si>
    <t>使:21(空:11)</t>
  </si>
  <si>
    <t>使: 7(空: 1)</t>
  </si>
  <si>
    <t>ポンプ1 指令Hz</t>
    <rPh sb="5" eb="7">
      <t>シレイ</t>
    </rPh>
    <phoneticPr fontId="1"/>
  </si>
  <si>
    <t>ポンプ1 実Hz</t>
    <rPh sb="5" eb="6">
      <t>ジツ</t>
    </rPh>
    <phoneticPr fontId="1"/>
  </si>
  <si>
    <t>ポンプ2 指令Hz</t>
    <rPh sb="5" eb="7">
      <t>シレイ</t>
    </rPh>
    <phoneticPr fontId="1"/>
  </si>
  <si>
    <t>ポンプ2 実Hz</t>
    <rPh sb="5" eb="6">
      <t>ジツ</t>
    </rPh>
    <phoneticPr fontId="1"/>
  </si>
  <si>
    <t>ポンプ2 運転/停止</t>
    <rPh sb="5" eb="7">
      <t>ウンテン</t>
    </rPh>
    <rPh sb="8" eb="10">
      <t>テイシ</t>
    </rPh>
    <phoneticPr fontId="1"/>
  </si>
  <si>
    <t>ポンプ1 運転/停止</t>
    <rPh sb="5" eb="7">
      <t>ウンテン</t>
    </rPh>
    <rPh sb="8" eb="10">
      <t>テイシ</t>
    </rPh>
    <phoneticPr fontId="1"/>
  </si>
  <si>
    <t>GA500_SwrtData1.fc10_tx.buff</t>
    <phoneticPr fontId="1"/>
  </si>
  <si>
    <t>Reserved for Sensor</t>
    <phoneticPr fontId="1"/>
  </si>
  <si>
    <t>Reserved</t>
    <phoneticPr fontId="1"/>
  </si>
  <si>
    <t>DriveMode</t>
    <phoneticPr fontId="1"/>
  </si>
  <si>
    <t>SUBMCU SourceNo_H</t>
  </si>
  <si>
    <t>SUBMCU SourceNo_L</t>
  </si>
  <si>
    <t>SUBMCU Ver</t>
  </si>
  <si>
    <t>SourceNo_H</t>
  </si>
  <si>
    <t>SourceNo_L</t>
  </si>
  <si>
    <t>Ver.x.xxx</t>
  </si>
  <si>
    <t>SW101_102_swrt</t>
  </si>
  <si>
    <t>SW103_104_swrt</t>
  </si>
  <si>
    <t>SW105_106_swrt</t>
  </si>
  <si>
    <t>EP_RefLeakFlagsC</t>
  </si>
  <si>
    <t>SW_CN_swrt</t>
  </si>
  <si>
    <t>in_teikitm</t>
  </si>
  <si>
    <t>out_teikitm</t>
  </si>
  <si>
    <t>UhUnitAddress</t>
  </si>
  <si>
    <t>SW1_2_swrt</t>
  </si>
  <si>
    <t>SW3_swrt</t>
  </si>
  <si>
    <t>IduFaCool</t>
  </si>
  <si>
    <t>IduFaHeat</t>
  </si>
  <si>
    <t>OutExistNo[0]</t>
  </si>
  <si>
    <t>OutExistNo[1]</t>
  </si>
  <si>
    <t>OutExistNo[2]</t>
  </si>
  <si>
    <t>OutExistNo[3]</t>
  </si>
  <si>
    <t>OutExistNo[4]</t>
  </si>
  <si>
    <t>Output_LED[0]</t>
  </si>
  <si>
    <t>Output_LED[1]</t>
  </si>
  <si>
    <t>Output_LED[2]</t>
  </si>
  <si>
    <t>Output_LED[3]</t>
  </si>
  <si>
    <t>Output_LED[4]</t>
  </si>
  <si>
    <t>スイッチ6,7</t>
  </si>
  <si>
    <t>スイッチ9,10</t>
  </si>
  <si>
    <t>スイッチ11,8</t>
  </si>
  <si>
    <t>冷媒漏洩TATSTO条件</t>
  </si>
  <si>
    <t>スイッチ4,5,8,15,ＣＮ30-32</t>
  </si>
  <si>
    <t>メインバス定期通信タイマ</t>
  </si>
  <si>
    <t>サブバス定期通信タイマ</t>
  </si>
  <si>
    <t>Uh側アドレス</t>
  </si>
  <si>
    <t>SW1_2</t>
  </si>
  <si>
    <t>SW3</t>
  </si>
  <si>
    <t>ステップ補正値暖房</t>
  </si>
  <si>
    <t>電流レリース値</t>
  </si>
  <si>
    <t>ｆｍａｘ’（Ｈｚ/圧縮比）</t>
  </si>
  <si>
    <t>ｆｍａｘ’</t>
  </si>
  <si>
    <t>ｆｍｉｎ’</t>
  </si>
  <si>
    <t>ｆｍａｘ’（電流レリース）</t>
  </si>
  <si>
    <t>ｆｍａｘ’（ＴＨ過熱）</t>
  </si>
  <si>
    <t>冷房室内補正後Ｆｃ（Ａ）</t>
  </si>
  <si>
    <t>暖房室内補正後Ｆｈ（Ａ）</t>
  </si>
  <si>
    <t>Wc(A)'</t>
  </si>
  <si>
    <t>Wh(A)'</t>
  </si>
  <si>
    <t>ＦＡ（１）ベース</t>
  </si>
  <si>
    <t>存在室外機アドレス[0]</t>
  </si>
  <si>
    <t>存在室外機アドレス[1]</t>
  </si>
  <si>
    <t>存在室外機アドレス[2]</t>
  </si>
  <si>
    <t>存在室外機アドレス[3]</t>
  </si>
  <si>
    <t>存在室外機アドレス[4]</t>
  </si>
  <si>
    <t>７ｓｅｇ表示１</t>
  </si>
  <si>
    <t>７ｓｅｇ表示２</t>
  </si>
  <si>
    <t>７ｓｅｇ表示３</t>
  </si>
  <si>
    <t>７ｓｅｇ表示４</t>
  </si>
  <si>
    <t>７ｓｅｇ表示５</t>
  </si>
  <si>
    <t>PUMP_SwrtData.FL_target</t>
  </si>
  <si>
    <t>PUMP_SwrtData.FL_current</t>
  </si>
  <si>
    <t>PUMP_SwrtData.PerrL</t>
  </si>
  <si>
    <t>PUMP_SwrtData.PerrE</t>
  </si>
  <si>
    <t>PUMP_SwrtData.deltaP</t>
  </si>
  <si>
    <t>PUMP_SwrtData.B_FLo</t>
  </si>
  <si>
    <t>PUMP_SwrtData.B_Alpha1</t>
  </si>
  <si>
    <t>PUMP_SwrtData.B_Alpha2</t>
  </si>
  <si>
    <t>PUMP_SwrtData.B_FL_fix</t>
  </si>
  <si>
    <t>PUMP_SwrtData.C_FLo</t>
  </si>
  <si>
    <t>PUMP_SwrtData.C_Alpha1</t>
  </si>
  <si>
    <t>PUMP_SwrtData.C_Alpha2</t>
  </si>
  <si>
    <t>PUMP_SwrtData.C_FL_fix</t>
  </si>
  <si>
    <t>PUMP_SwrtData.FL_sys_max</t>
  </si>
  <si>
    <t>PUMP_SwrtData.FL_hyd_max</t>
  </si>
  <si>
    <t>PUMP_SwrtData.FL_min</t>
  </si>
  <si>
    <t>PUMP_SwrtData.fluid_type</t>
  </si>
  <si>
    <t>PUMP_SwrtData.brine_type</t>
  </si>
  <si>
    <t>PUMP_SwrtData.hex_hp_idx</t>
  </si>
  <si>
    <t>L/min</t>
  </si>
  <si>
    <t>L/min</t>
    <phoneticPr fontId="1"/>
  </si>
  <si>
    <t>F32</t>
  </si>
  <si>
    <t>Bin_0bit</t>
    <phoneticPr fontId="1"/>
  </si>
  <si>
    <t>目標流量</t>
    <rPh sb="0" eb="4">
      <t>モクヒョウリュウリョウ</t>
    </rPh>
    <phoneticPr fontId="1"/>
  </si>
  <si>
    <t>実流量</t>
    <rPh sb="0" eb="3">
      <t>ジツリュウリョウ</t>
    </rPh>
    <phoneticPr fontId="1"/>
  </si>
  <si>
    <t>PWEの補正値</t>
    <rPh sb="4" eb="7">
      <t>ホセイチ</t>
    </rPh>
    <phoneticPr fontId="1"/>
  </si>
  <si>
    <t>PWLの補正値</t>
    <rPh sb="4" eb="7">
      <t>ホセイチ</t>
    </rPh>
    <phoneticPr fontId="1"/>
  </si>
  <si>
    <t>ΔP</t>
    <phoneticPr fontId="1"/>
  </si>
  <si>
    <t>B回路の基本目標流量FLo</t>
    <rPh sb="1" eb="3">
      <t>カイロ</t>
    </rPh>
    <rPh sb="4" eb="6">
      <t>キホン</t>
    </rPh>
    <rPh sb="6" eb="10">
      <t>モクヒョウリュウリョウ</t>
    </rPh>
    <phoneticPr fontId="1"/>
  </si>
  <si>
    <t>B回路の目標流量補正α1</t>
    <rPh sb="4" eb="8">
      <t>モクヒョウリュウリョウ</t>
    </rPh>
    <rPh sb="8" eb="10">
      <t>ホセイ</t>
    </rPh>
    <phoneticPr fontId="1"/>
  </si>
  <si>
    <t>B回路の目標流量補正α2</t>
    <phoneticPr fontId="1"/>
  </si>
  <si>
    <t>B回路の目標流量</t>
    <rPh sb="4" eb="8">
      <t>モクヒョウリュウリョウ</t>
    </rPh>
    <phoneticPr fontId="1"/>
  </si>
  <si>
    <t>C回路の基本目標流量FLo</t>
    <rPh sb="1" eb="3">
      <t>カイロ</t>
    </rPh>
    <rPh sb="4" eb="6">
      <t>キホン</t>
    </rPh>
    <rPh sb="6" eb="10">
      <t>モクヒョウリュウリョウ</t>
    </rPh>
    <phoneticPr fontId="1"/>
  </si>
  <si>
    <t>C回路の目標流量補正α1</t>
    <rPh sb="4" eb="8">
      <t>モクヒョウリュウリョウ</t>
    </rPh>
    <rPh sb="8" eb="10">
      <t>ホセイ</t>
    </rPh>
    <phoneticPr fontId="1"/>
  </si>
  <si>
    <t>C回路の目標流量補正α2</t>
    <phoneticPr fontId="1"/>
  </si>
  <si>
    <t>C回路の目標流量</t>
    <rPh sb="4" eb="8">
      <t>モクヒョウリュウリョウ</t>
    </rPh>
    <phoneticPr fontId="1"/>
  </si>
  <si>
    <t>システムとしての上限流量</t>
    <rPh sb="8" eb="10">
      <t>ジョウゲン</t>
    </rPh>
    <rPh sb="10" eb="12">
      <t>リュウリョウ</t>
    </rPh>
    <phoneticPr fontId="1"/>
  </si>
  <si>
    <t>ハイドロ当たりの上限流量</t>
    <rPh sb="4" eb="5">
      <t>ア</t>
    </rPh>
    <rPh sb="8" eb="10">
      <t>ジョウゲン</t>
    </rPh>
    <rPh sb="10" eb="12">
      <t>リュウリョウ</t>
    </rPh>
    <phoneticPr fontId="1"/>
  </si>
  <si>
    <t>下限流量</t>
    <rPh sb="0" eb="4">
      <t>カゲンリュウリョウ</t>
    </rPh>
    <phoneticPr fontId="1"/>
  </si>
  <si>
    <t>流体種別</t>
    <rPh sb="0" eb="2">
      <t>リュウタイ</t>
    </rPh>
    <rPh sb="2" eb="4">
      <t>シュベツ</t>
    </rPh>
    <phoneticPr fontId="1"/>
  </si>
  <si>
    <t>ブライン種別</t>
    <rPh sb="4" eb="6">
      <t>シュベツ</t>
    </rPh>
    <phoneticPr fontId="1"/>
  </si>
  <si>
    <t>プレート熱交種類</t>
    <rPh sb="4" eb="6">
      <t>ネツコウ</t>
    </rPh>
    <rPh sb="6" eb="8">
      <t>シュルイ</t>
    </rPh>
    <phoneticPr fontId="1"/>
  </si>
  <si>
    <t>列名</t>
    <rPh sb="0" eb="2">
      <t>レツメイ</t>
    </rPh>
    <phoneticPr fontId="1"/>
  </si>
  <si>
    <t>内容</t>
    <rPh sb="0" eb="2">
      <t>ナイヨウ</t>
    </rPh>
    <phoneticPr fontId="1"/>
  </si>
  <si>
    <t>fomat</t>
    <phoneticPr fontId="1"/>
  </si>
  <si>
    <t>データの日本語名を簡潔に記載する。</t>
    <rPh sb="4" eb="8">
      <t>ニホンゴメイ</t>
    </rPh>
    <rPh sb="9" eb="11">
      <t>カンケツ</t>
    </rPh>
    <rPh sb="12" eb="14">
      <t>キサイ</t>
    </rPh>
    <phoneticPr fontId="1"/>
  </si>
  <si>
    <t>データのシンボル名を記載する。</t>
    <rPh sb="8" eb="9">
      <t>メイ</t>
    </rPh>
    <rPh sb="10" eb="12">
      <t>キサイ</t>
    </rPh>
    <phoneticPr fontId="1"/>
  </si>
  <si>
    <t>データの「型」をバイトサイズで記載する。</t>
    <rPh sb="5" eb="6">
      <t>カタ</t>
    </rPh>
    <rPh sb="15" eb="17">
      <t>キサイ</t>
    </rPh>
    <phoneticPr fontId="1"/>
  </si>
  <si>
    <t>データの個数を記載する。</t>
    <rPh sb="4" eb="6">
      <t>コスウ</t>
    </rPh>
    <rPh sb="7" eb="9">
      <t>キサイ</t>
    </rPh>
    <phoneticPr fontId="1"/>
  </si>
  <si>
    <t>データの物理値の単位。</t>
    <rPh sb="4" eb="7">
      <t>ブツリチ</t>
    </rPh>
    <rPh sb="8" eb="10">
      <t>タンイ</t>
    </rPh>
    <phoneticPr fontId="1"/>
  </si>
  <si>
    <t>データのLSBの値。</t>
    <rPh sb="8" eb="9">
      <t>アタイ</t>
    </rPh>
    <phoneticPr fontId="1"/>
  </si>
  <si>
    <t>SWRTでの表示方法を指定するコードを【表記フォーマット】シートの "id" 列に定義のラベルで記載する。</t>
    <rPh sb="6" eb="10">
      <t>ヒョウジホウホウ</t>
    </rPh>
    <rPh sb="11" eb="13">
      <t>シテイ</t>
    </rPh>
    <rPh sb="20" eb="22">
      <t>ヒョウキ</t>
    </rPh>
    <rPh sb="39" eb="40">
      <t>レツ</t>
    </rPh>
    <rPh sb="41" eb="43">
      <t>テイギ</t>
    </rPh>
    <rPh sb="48" eb="50">
      <t>キサイ</t>
    </rPh>
    <phoneticPr fontId="1"/>
  </si>
  <si>
    <t>コメントを記載する。</t>
    <rPh sb="5" eb="7">
      <t>キサイ</t>
    </rPh>
    <phoneticPr fontId="1"/>
  </si>
  <si>
    <t>備考</t>
    <rPh sb="0" eb="2">
      <t>ビコウ</t>
    </rPh>
    <phoneticPr fontId="1"/>
  </si>
  <si>
    <t>P列</t>
    <rPh sb="1" eb="2">
      <t>レツ</t>
    </rPh>
    <phoneticPr fontId="1"/>
  </si>
  <si>
    <t>番号</t>
    <rPh sb="0" eb="2">
      <t>バンゴウ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</si>
  <si>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</si>
  <si>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</si>
  <si>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</si>
  <si>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</si>
  <si>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</si>
  <si>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</si>
  <si>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</si>
  <si>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</si>
  <si>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⑨</t>
    <phoneticPr fontId="1"/>
  </si>
  <si>
    <t>⑩</t>
    <phoneticPr fontId="1"/>
  </si>
  <si>
    <t>⑪</t>
    <phoneticPr fontId="1"/>
  </si>
  <si>
    <t>⑫</t>
    <phoneticPr fontId="1"/>
  </si>
  <si>
    <t>⑬</t>
    <phoneticPr fontId="1"/>
  </si>
  <si>
    <t>⑭</t>
    <phoneticPr fontId="1"/>
  </si>
  <si>
    <t>⑮</t>
    <phoneticPr fontId="1"/>
  </si>
  <si>
    <t>「Symbol」「Type」「Length」は必須流力項目。</t>
    <rPh sb="23" eb="25">
      <t>ヒッス</t>
    </rPh>
    <rPh sb="25" eb="29">
      <t>リュウリョクコウモク</t>
    </rPh>
    <phoneticPr fontId="1"/>
  </si>
  <si>
    <r>
      <rPr>
        <u/>
        <sz val="8"/>
        <color theme="1"/>
        <rFont val="メイリオ"/>
        <family val="3"/>
        <charset val="128"/>
      </rPr>
      <t>[自動入力セル]</t>
    </r>
    <r>
      <rPr>
        <sz val="8"/>
        <color theme="1"/>
        <rFont val="メイリオ"/>
        <family val="2"/>
        <charset val="128"/>
      </rPr>
      <t xml:space="preserve"> 先頭からの「size」ベースでのオフセット位置。</t>
    </r>
    <rPh sb="9" eb="11">
      <t>セントウ</t>
    </rPh>
    <rPh sb="30" eb="32">
      <t>イチ</t>
    </rPh>
    <phoneticPr fontId="1"/>
  </si>
  <si>
    <r>
      <rPr>
        <u/>
        <sz val="8"/>
        <color theme="1"/>
        <rFont val="メイリオ"/>
        <family val="3"/>
        <charset val="128"/>
      </rPr>
      <t>[自動入力セル]</t>
    </r>
    <r>
      <rPr>
        <sz val="8"/>
        <color theme="1"/>
        <rFont val="メイリオ"/>
        <family val="2"/>
        <charset val="128"/>
      </rPr>
      <t xml:space="preserve"> データのバイト数。（Type × Length）</t>
    </r>
    <rPh sb="16" eb="17">
      <t>スウ</t>
    </rPh>
    <phoneticPr fontId="1"/>
  </si>
  <si>
    <r>
      <rPr>
        <u/>
        <sz val="8"/>
        <color theme="1"/>
        <rFont val="メイリオ"/>
        <family val="3"/>
        <charset val="128"/>
      </rPr>
      <t>[自動入力セル]</t>
    </r>
    <r>
      <rPr>
        <sz val="8"/>
        <color theme="1"/>
        <rFont val="メイリオ"/>
        <family val="2"/>
        <charset val="128"/>
      </rPr>
      <t xml:space="preserve"> SWRTの画面ファイルに記載する表示方法を指定するコードの値。</t>
    </r>
    <rPh sb="1" eb="5">
      <t>ジドウニュウリョク</t>
    </rPh>
    <rPh sb="14" eb="16">
      <t>ガメン</t>
    </rPh>
    <rPh sb="21" eb="23">
      <t>キサイ</t>
    </rPh>
    <rPh sb="25" eb="29">
      <t>ヒョウジホウホウ</t>
    </rPh>
    <rPh sb="30" eb="32">
      <t>シテイ</t>
    </rPh>
    <rPh sb="38" eb="39">
      <t>アタイ</t>
    </rPh>
    <phoneticPr fontId="1"/>
  </si>
  <si>
    <r>
      <rPr>
        <u/>
        <sz val="8"/>
        <color theme="1"/>
        <rFont val="メイリオ"/>
        <family val="3"/>
        <charset val="128"/>
      </rPr>
      <t>[自動入力セル]</t>
    </r>
    <r>
      <rPr>
        <sz val="8"/>
        <color theme="1"/>
        <rFont val="メイリオ"/>
        <family val="3"/>
        <charset val="128"/>
      </rPr>
      <t xml:space="preserve"> SWRTの画面ファイルに記載するデータのアドレスの値。</t>
    </r>
    <rPh sb="14" eb="16">
      <t>ガメン</t>
    </rPh>
    <rPh sb="21" eb="23">
      <t>キサイ</t>
    </rPh>
    <rPh sb="34" eb="35">
      <t>アタイ</t>
    </rPh>
    <phoneticPr fontId="1"/>
  </si>
  <si>
    <r>
      <rPr>
        <u/>
        <sz val="8"/>
        <color theme="1"/>
        <rFont val="メイリオ"/>
        <family val="3"/>
        <charset val="128"/>
      </rPr>
      <t>[自動入力セル]</t>
    </r>
    <r>
      <rPr>
        <sz val="8"/>
        <color theme="1"/>
        <rFont val="メイリオ"/>
        <family val="3"/>
        <charset val="128"/>
      </rPr>
      <t xml:space="preserve"> 「size」ベースの残サイズ。</t>
    </r>
    <rPh sb="19" eb="20">
      <t>ザン</t>
    </rPh>
    <phoneticPr fontId="1"/>
  </si>
  <si>
    <r>
      <rPr>
        <u/>
        <sz val="8"/>
        <color theme="1"/>
        <rFont val="メイリオ"/>
        <family val="3"/>
        <charset val="128"/>
      </rPr>
      <t>[自動入力セル]</t>
    </r>
    <r>
      <rPr>
        <sz val="8"/>
        <color theme="1"/>
        <rFont val="メイリオ"/>
        <family val="3"/>
        <charset val="128"/>
      </rPr>
      <t xml:space="preserve"> テーブル定義用のソースコード。</t>
    </r>
    <phoneticPr fontId="1"/>
  </si>
  <si>
    <t>1行目～"};"までをコピペして、ダブルクウォート(")を除去する必要あり。</t>
    <rPh sb="1" eb="3">
      <t>ギョウメ</t>
    </rPh>
    <rPh sb="29" eb="31">
      <t>ジョキョ</t>
    </rPh>
    <rPh sb="33" eb="35">
      <t>ヒツヨウ</t>
    </rPh>
    <phoneticPr fontId="1"/>
  </si>
  <si>
    <t>最大サイズを248で計算しているので、変更の際は「F_残」の名前で定義した参照範囲（数式）を変更する。</t>
    <rPh sb="0" eb="2">
      <t>サイダイ</t>
    </rPh>
    <rPh sb="10" eb="12">
      <t>ケイサン</t>
    </rPh>
    <rPh sb="19" eb="21">
      <t>ヘンコウ</t>
    </rPh>
    <rPh sb="22" eb="23">
      <t>サイ</t>
    </rPh>
    <rPh sb="30" eb="32">
      <t>ナマエ</t>
    </rPh>
    <rPh sb="33" eb="35">
      <t>テイギ</t>
    </rPh>
    <rPh sb="37" eb="41">
      <t>サンショウハンイ</t>
    </rPh>
    <rPh sb="42" eb="44">
      <t>スウシキ</t>
    </rPh>
    <rPh sb="46" eb="48">
      <t>ヘンコウ</t>
    </rPh>
    <phoneticPr fontId="1"/>
  </si>
  <si>
    <r>
      <rPr>
        <u/>
        <sz val="8"/>
        <color theme="1"/>
        <rFont val="メイリオ"/>
        <family val="3"/>
        <charset val="128"/>
      </rPr>
      <t>[自動入力セル]</t>
    </r>
    <r>
      <rPr>
        <sz val="8"/>
        <color theme="1"/>
        <rFont val="メイリオ"/>
        <family val="2"/>
        <charset val="128"/>
      </rPr>
      <t xml:space="preserve"> アドレス空間内でのデータサイズ。</t>
    </r>
    <rPh sb="13" eb="15">
      <t>クウカン</t>
    </rPh>
    <rPh sb="15" eb="16">
      <t>ナイ</t>
    </rPh>
    <phoneticPr fontId="1"/>
  </si>
  <si>
    <t>Type × Length　の値。</t>
    <rPh sb="15" eb="16">
      <t>アタイ</t>
    </rPh>
    <phoneticPr fontId="1"/>
  </si>
  <si>
    <t>Type × Length × 2　の値。</t>
    <rPh sb="19" eb="20">
      <t>アタイ</t>
    </rPh>
    <phoneticPr fontId="1"/>
  </si>
  <si>
    <t>直前の行までの「size」の積算値。</t>
    <rPh sb="0" eb="2">
      <t>チョクゼン</t>
    </rPh>
    <rPh sb="3" eb="4">
      <t>ギョウ</t>
    </rPh>
    <rPh sb="14" eb="17">
      <t>セキサンチ</t>
    </rPh>
    <phoneticPr fontId="1"/>
  </si>
  <si>
    <t>ソースコード(P列)のコメントとして記載する。</t>
    <rPh sb="8" eb="9">
      <t>レツ</t>
    </rPh>
    <rPh sb="18" eb="20">
      <t>キサイ</t>
    </rPh>
    <phoneticPr fontId="1"/>
  </si>
  <si>
    <r>
      <t xml:space="preserve">｛（UC＊）＆ </t>
    </r>
    <r>
      <rPr>
        <b/>
        <u/>
        <sz val="8"/>
        <color theme="1"/>
        <rFont val="メイリオ"/>
        <family val="3"/>
        <charset val="128"/>
      </rPr>
      <t>Symbol</t>
    </r>
    <r>
      <rPr>
        <sz val="8"/>
        <color theme="1"/>
        <rFont val="メイリオ"/>
        <family val="2"/>
        <charset val="128"/>
      </rPr>
      <t xml:space="preserve"> ，     </t>
    </r>
    <r>
      <rPr>
        <b/>
        <u/>
        <sz val="8"/>
        <color theme="1"/>
        <rFont val="メイリオ"/>
        <family val="3"/>
        <charset val="128"/>
      </rPr>
      <t>Type</t>
    </r>
    <r>
      <rPr>
        <sz val="8"/>
        <color theme="1"/>
        <rFont val="メイリオ"/>
        <family val="2"/>
        <charset val="128"/>
      </rPr>
      <t xml:space="preserve"> ＊ </t>
    </r>
    <r>
      <rPr>
        <b/>
        <u/>
        <sz val="8"/>
        <color theme="1"/>
        <rFont val="メイリオ"/>
        <family val="3"/>
        <charset val="128"/>
      </rPr>
      <t>Length</t>
    </r>
    <r>
      <rPr>
        <sz val="8"/>
        <color theme="1"/>
        <rFont val="メイリオ"/>
        <family val="2"/>
        <charset val="128"/>
      </rPr>
      <t xml:space="preserve"> ｝，　// </t>
    </r>
    <r>
      <rPr>
        <b/>
        <u/>
        <sz val="8"/>
        <color theme="1"/>
        <rFont val="メイリオ"/>
        <family val="3"/>
        <charset val="128"/>
      </rPr>
      <t>offset</t>
    </r>
    <r>
      <rPr>
        <sz val="8"/>
        <color theme="1"/>
        <rFont val="メイリオ"/>
        <family val="2"/>
        <charset val="128"/>
      </rPr>
      <t>　</t>
    </r>
    <r>
      <rPr>
        <b/>
        <u/>
        <sz val="8"/>
        <color theme="1"/>
        <rFont val="メイリオ"/>
        <family val="3"/>
        <charset val="128"/>
      </rPr>
      <t>address</t>
    </r>
    <r>
      <rPr>
        <sz val="8"/>
        <color theme="1"/>
        <rFont val="メイリオ"/>
        <family val="2"/>
        <charset val="128"/>
      </rPr>
      <t>　</t>
    </r>
    <r>
      <rPr>
        <b/>
        <u/>
        <sz val="8"/>
        <color theme="1"/>
        <rFont val="メイリオ"/>
        <family val="3"/>
        <charset val="128"/>
      </rPr>
      <t>note</t>
    </r>
    <phoneticPr fontId="1"/>
  </si>
  <si>
    <t>Hz, kPa, L/min, HP 等。LSBと合わせて物理値を把握するための補足情報。</t>
    <rPh sb="19" eb="20">
      <t>トウ</t>
    </rPh>
    <rPh sb="25" eb="26">
      <t>ア</t>
    </rPh>
    <rPh sb="29" eb="32">
      <t>ブツリチ</t>
    </rPh>
    <rPh sb="33" eb="35">
      <t>ハアク</t>
    </rPh>
    <rPh sb="40" eb="42">
      <t>ホソク</t>
    </rPh>
    <rPh sb="42" eb="44">
      <t>ジョウホウ</t>
    </rPh>
    <phoneticPr fontId="1"/>
  </si>
  <si>
    <t>10倍値を格納する変数なら「0.1」。</t>
    <rPh sb="2" eb="4">
      <t>バイチ</t>
    </rPh>
    <rPh sb="5" eb="7">
      <t>カクノウ</t>
    </rPh>
    <rPh sb="9" eb="11">
      <t>ヘンスウ</t>
    </rPh>
    <phoneticPr fontId="1"/>
  </si>
  <si>
    <t>【表記フォーマット】シートのB列。</t>
    <rPh sb="1" eb="3">
      <t>ヒョウキ</t>
    </rPh>
    <rPh sb="15" eb="16">
      <t>レツ</t>
    </rPh>
    <phoneticPr fontId="1"/>
  </si>
  <si>
    <t>データ定義のソースコード(P列)は下記の書式。</t>
    <rPh sb="3" eb="5">
      <t>テイギ</t>
    </rPh>
    <rPh sb="14" eb="15">
      <t>レツ</t>
    </rPh>
    <rPh sb="17" eb="19">
      <t>カキ</t>
    </rPh>
    <rPh sb="20" eb="22">
      <t>ショシキ</t>
    </rPh>
    <phoneticPr fontId="1"/>
  </si>
  <si>
    <t>必須入力。</t>
    <rPh sb="0" eb="4">
      <t>ヒッスニュウリョク</t>
    </rPh>
    <phoneticPr fontId="1"/>
  </si>
  <si>
    <t>必須入力。【表記フォーマット】シート参照。</t>
    <rPh sb="0" eb="4">
      <t>ヒッスニュウリョク</t>
    </rPh>
    <rPh sb="6" eb="8">
      <t>ヒョウキ</t>
    </rPh>
    <rPh sb="18" eb="20">
      <t>サンショウ</t>
    </rPh>
    <phoneticPr fontId="1"/>
  </si>
  <si>
    <t>シート名の「swrt_*」からページ番号を取得するので、シート名は「swrt_」＋ 整数値 とする必要あり。</t>
    <rPh sb="3" eb="4">
      <t>メイ</t>
    </rPh>
    <rPh sb="18" eb="20">
      <t>バンゴウ</t>
    </rPh>
    <rPh sb="21" eb="23">
      <t>シュトク</t>
    </rPh>
    <rPh sb="31" eb="32">
      <t>メイ</t>
    </rPh>
    <rPh sb="42" eb="45">
      <t>セイスウチ</t>
    </rPh>
    <rPh sb="49" eb="51">
      <t>ヒツヨウ</t>
    </rPh>
    <phoneticPr fontId="1"/>
  </si>
  <si>
    <t>swrt_0</t>
    <phoneticPr fontId="1"/>
  </si>
  <si>
    <t>swrt_1</t>
    <phoneticPr fontId="1"/>
  </si>
  <si>
    <t>swrt_2</t>
  </si>
  <si>
    <t>swrt_3</t>
  </si>
  <si>
    <t>swrt_4</t>
  </si>
  <si>
    <t>swrt_5</t>
  </si>
  <si>
    <t>swrt_6</t>
  </si>
  <si>
    <t>swrt_7</t>
  </si>
  <si>
    <t>swrt_8</t>
  </si>
  <si>
    <t>swrt_9</t>
  </si>
  <si>
    <t>swrt_10</t>
  </si>
  <si>
    <t>swrt_11</t>
  </si>
  <si>
    <t>swrt_12</t>
  </si>
  <si>
    <t>swrt_13</t>
  </si>
  <si>
    <t>swrt_14</t>
  </si>
  <si>
    <t>swrt_15</t>
  </si>
  <si>
    <t>ココ(B1セル)をコピペ →</t>
    <phoneticPr fontId="1"/>
  </si>
  <si>
    <t>各シートのテーブル定義内容
↓↓↓↓↓↓↓↓↓↓↓↓↓</t>
    <rPh sb="0" eb="1">
      <t>カク</t>
    </rPh>
    <rPh sb="9" eb="13">
      <t>テイギナイヨウ</t>
    </rPh>
    <phoneticPr fontId="1"/>
  </si>
  <si>
    <t>を収集
↓↓↓</t>
    <phoneticPr fontId="1"/>
  </si>
  <si>
    <t>↵</t>
    <phoneticPr fontId="1"/>
  </si>
  <si>
    <t>※B1セルをコピペでテキストファイルに張り付けたとき、内容がダブルクウォート「"」で囲まれるので手作業で除去する。</t>
    <rPh sb="19" eb="20">
      <t>ハ</t>
    </rPh>
    <rPh sb="21" eb="22">
      <t>ツ</t>
    </rPh>
    <rPh sb="27" eb="29">
      <t>ナイヨウ</t>
    </rPh>
    <rPh sb="42" eb="43">
      <t>カコ</t>
    </rPh>
    <rPh sb="48" eb="51">
      <t>テサギョウ</t>
    </rPh>
    <rPh sb="52" eb="54">
      <t>ジョキョ</t>
    </rPh>
    <phoneticPr fontId="1"/>
  </si>
  <si>
    <t>Binary-Table0 ：TE,TS,TU RB=30.9K R0=10K TO=25 B=4158 大泉</t>
  </si>
  <si>
    <t>Binary-Table1 ：TD       RB=6.34K R0=17.9K TO=50 B=40400</t>
  </si>
  <si>
    <t>Binary-Table2 ：TO       R25=10k,B=4100,Rh=8.06</t>
  </si>
  <si>
    <t>Binary-Table3 ：TH</t>
  </si>
  <si>
    <t>Binary-Table4 ：CS(ｲﾝﾊﾞｰﾀ電流55A)</t>
  </si>
  <si>
    <t>Binary-Table5 ：SH(0～+127,-128～-1)</t>
  </si>
  <si>
    <t>Binary-Table6 ：TE,TS,TU(-59～+194)</t>
  </si>
  <si>
    <t>Binary-Table7 ：TG1,TG2 RB=30.9K R0=10K TO=25 B=4100 芝浦</t>
  </si>
  <si>
    <t>Binary-Table8 ：8bit10進0.5step符号付</t>
  </si>
  <si>
    <t>Binary-Table9 ：8bit10進0.5step</t>
  </si>
  <si>
    <t>Binary-Table10 ：bit0</t>
  </si>
  <si>
    <t>Binary-Table11 ：bit1</t>
  </si>
  <si>
    <t>Binary-Table12 ：bit2</t>
  </si>
  <si>
    <t>Binary-Table13 ：bit3</t>
  </si>
  <si>
    <t>Binary-Table14 ：温度形式４</t>
  </si>
  <si>
    <t>Binary-Table15 ：S-LINK TEMP</t>
  </si>
  <si>
    <t>Binary-Table16 ：8bit10進</t>
  </si>
  <si>
    <t>Binary-Table17 ：油量情報</t>
  </si>
  <si>
    <t>Binary-Table18 ：戻油モード</t>
  </si>
  <si>
    <t>Binary-Table19 ：除霜終了</t>
  </si>
  <si>
    <t>Binary-Table20 ：除霜開始</t>
  </si>
  <si>
    <t>Binary-Table21 ：起動順位</t>
  </si>
  <si>
    <t>Binary-Table22 ：</t>
  </si>
  <si>
    <t>Binary-Table23 ：運転ﾓｰﾄﾞ</t>
  </si>
  <si>
    <t>Binary-Table24 ：92R室内運転/停止</t>
  </si>
  <si>
    <t>Binary-Table25 ：7seg変換データ</t>
  </si>
  <si>
    <t>Binary-Table26 ：92R室内発停指令元</t>
  </si>
  <si>
    <t>Binary-Table27 ：センターターミナル判定</t>
  </si>
  <si>
    <t>Binary-Table28 ：92R室内ｱﾄﾞﾚｽ重複ｴﾗｰ</t>
  </si>
  <si>
    <t>Binary-Table29 ：6bit10進</t>
  </si>
  <si>
    <t>Binary-Table30 ：能力測定モード</t>
  </si>
  <si>
    <t>Binary-Table31 ：運転モード選択</t>
  </si>
  <si>
    <t>Binary-Table32 ：過熱度過冷却度ゾーン判定信号</t>
  </si>
  <si>
    <t>Binary-Table33 ：ﾜｲﾄﾞﾏﾙﾁ</t>
  </si>
  <si>
    <t>Binary-Table34 ：３桁異常コード</t>
  </si>
  <si>
    <t>Binary-Table35 ：ﾜｲﾄﾞﾏﾙﾁ</t>
  </si>
  <si>
    <t>Binary-Table36 ：ﾜｲﾄﾞﾏﾙﾁ室内満足度</t>
  </si>
  <si>
    <t>Binary-Table37 ：室内満足度信号</t>
  </si>
  <si>
    <t>Binary-Table38 ：氷モード</t>
  </si>
  <si>
    <t>Binary-Table39 ：アスキーコード</t>
  </si>
  <si>
    <t>Binary-Table40 ：フレックスモード</t>
  </si>
  <si>
    <t>Binary-Table41 ：室内形式</t>
  </si>
  <si>
    <t>Binary-Table42 ：M102HTM(PD)</t>
  </si>
  <si>
    <t>Binary-Table43 ：M102HTM(PS)</t>
  </si>
  <si>
    <t>Binary-Table44 ：4bit10進符号付</t>
  </si>
  <si>
    <t>Binary-Table45 ：S-LINK 運転モード</t>
  </si>
  <si>
    <t>Binary-Table46 ：油面判定</t>
  </si>
  <si>
    <t>Binary-Table47 ：TKセンサデータ</t>
  </si>
  <si>
    <t>Binary-Table48 ：PL圧力変換</t>
  </si>
  <si>
    <t>Binary-Table49 ：過熱度過冷却度ゾーン判定信号（システム全体）</t>
  </si>
  <si>
    <t>Binary-Table50 ：LAVR/YATR(fo)</t>
  </si>
  <si>
    <t>Binary-Table51 ：S-LINK TEMPD</t>
  </si>
  <si>
    <t>Binary-Table52 ：BUS通信でのPD/PS変換</t>
  </si>
  <si>
    <t>Binary-Table53 ：4bit10進</t>
  </si>
  <si>
    <t>Binary-Table54 ：室内風量</t>
  </si>
  <si>
    <t>Binary-Table55 ：室内馬力</t>
  </si>
  <si>
    <t>Binary-Table56 ：次世代MMS機種設定</t>
  </si>
  <si>
    <t>Binary-Table57 ：次世代MMS室外馬力設定</t>
  </si>
  <si>
    <t>Binary-Table58 ：次世代MMS室外馬力内訳</t>
  </si>
  <si>
    <t>Binary-Table59 ：AlmightyFLG</t>
  </si>
  <si>
    <t>Binary-Table60 ：not bit0</t>
  </si>
  <si>
    <t>Binary-Table61 ：not bit1</t>
  </si>
  <si>
    <t>Binary-Table62 ：not bit2</t>
  </si>
  <si>
    <t>Binary-Table63 ：not bit3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</si>
</sst>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ページ：&quot;#"/>
    <numFmt numFmtId="177" formatCode="0_ ;[Red]\-0\ "/>
  </numFmts>
  <fonts count="9">
    <font>
      <sz val="8"/>
      <color theme="1"/>
      <name val="メイリオ"/>
      <family val="2"/>
      <charset val="128"/>
    </font>
    <font>
      <sz val="6"/>
      <name val="メイリオ"/>
      <family val="2"/>
      <charset val="128"/>
    </font>
    <font>
      <b/>
      <sz val="8"/>
      <color theme="1"/>
      <name val="メイリオ"/>
      <family val="2"/>
      <charset val="128"/>
    </font>
    <font>
      <b/>
      <sz val="8"/>
      <color theme="1"/>
      <name val="メイリオ"/>
      <family val="3"/>
      <charset val="128"/>
    </font>
    <font>
      <sz val="10"/>
      <color theme="1"/>
      <name val="ＭＳ ゴシック"/>
      <family val="3"/>
      <charset val="128"/>
    </font>
    <font>
      <u/>
      <sz val="8"/>
      <color theme="1"/>
      <name val="メイリオ"/>
      <family val="3"/>
      <charset val="128"/>
    </font>
    <font>
      <b/>
      <u/>
      <sz val="8"/>
      <color theme="1"/>
      <name val="メイリオ"/>
      <family val="3"/>
      <charset val="128"/>
    </font>
    <font>
      <sz val="8"/>
      <color theme="1"/>
      <name val="メイリオ"/>
      <family val="3"/>
      <charset val="128"/>
    </font>
    <font>
      <b/>
      <sz val="8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horizontal="right" vertical="center"/>
    </xf>
    <xf numFmtId="0" fontId="0" fillId="3" borderId="3" xfId="0" applyFill="1" applyBorder="1">
      <alignment vertical="center"/>
    </xf>
    <xf numFmtId="0" fontId="0" fillId="3" borderId="3" xfId="0" applyFill="1" applyBorder="1" applyAlignment="1">
      <alignment horizontal="right" vertical="center"/>
    </xf>
    <xf numFmtId="0" fontId="0" fillId="3" borderId="4" xfId="0" applyFill="1" applyBorder="1">
      <alignment vertical="center"/>
    </xf>
    <xf numFmtId="0" fontId="0" fillId="3" borderId="4" xfId="0" applyFill="1" applyBorder="1" applyAlignment="1">
      <alignment horizontal="right" vertical="center"/>
    </xf>
    <xf numFmtId="177" fontId="0" fillId="3" borderId="2" xfId="0" applyNumberFormat="1" applyFill="1" applyBorder="1" applyAlignment="1">
      <alignment horizontal="right" vertical="center"/>
    </xf>
    <xf numFmtId="177" fontId="0" fillId="3" borderId="3" xfId="0" applyNumberFormat="1" applyFill="1" applyBorder="1" applyAlignment="1">
      <alignment horizontal="right" vertical="center"/>
    </xf>
    <xf numFmtId="177" fontId="0" fillId="3" borderId="4" xfId="0" applyNumberFormat="1" applyFill="1" applyBorder="1" applyAlignment="1">
      <alignment horizontal="right" vertical="center"/>
    </xf>
    <xf numFmtId="0" fontId="0" fillId="0" borderId="2" xfId="0" applyBorder="1" applyProtection="1">
      <alignment vertical="center"/>
      <protection locked="0"/>
    </xf>
    <xf numFmtId="0" fontId="0" fillId="0" borderId="2" xfId="0" applyBorder="1" applyAlignment="1" applyProtection="1">
      <alignment horizontal="right"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4" xfId="0" applyBorder="1" applyProtection="1">
      <alignment vertical="center"/>
      <protection locked="0"/>
    </xf>
    <xf numFmtId="0" fontId="0" fillId="0" borderId="4" xfId="0" applyBorder="1" applyAlignment="1" applyProtection="1">
      <alignment horizontal="right" vertical="center"/>
      <protection locked="0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0" fillId="0" borderId="5" xfId="0" applyBorder="1">
      <alignment vertical="center"/>
    </xf>
    <xf numFmtId="0" fontId="4" fillId="0" borderId="5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8" fillId="4" borderId="1" xfId="0" applyFont="1" applyFill="1" applyBorder="1">
      <alignment vertical="center"/>
    </xf>
    <xf numFmtId="0" fontId="0" fillId="5" borderId="6" xfId="0" applyFill="1" applyBorder="1">
      <alignment vertical="center"/>
    </xf>
    <xf numFmtId="0" fontId="0" fillId="5" borderId="7" xfId="0" applyFill="1" applyBorder="1">
      <alignment vertical="center"/>
    </xf>
    <xf numFmtId="0" fontId="0" fillId="5" borderId="5" xfId="0" applyFill="1" applyBorder="1">
      <alignment vertical="center"/>
    </xf>
    <xf numFmtId="0" fontId="0" fillId="6" borderId="8" xfId="0" applyFill="1" applyBorder="1">
      <alignment vertical="center"/>
    </xf>
    <xf numFmtId="0" fontId="0" fillId="3" borderId="0" xfId="0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 indent="2"/>
    </xf>
    <xf numFmtId="0" fontId="3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2</xdr:row>
      <xdr:rowOff>59784</xdr:rowOff>
    </xdr:from>
    <xdr:to>
      <xdr:col>3</xdr:col>
      <xdr:colOff>4240808</xdr:colOff>
      <xdr:row>16</xdr:row>
      <xdr:rowOff>105296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BC5F6C-54BD-C3A7-EA32-C766BC9C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421734"/>
          <a:ext cx="10803533" cy="2579162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oneCellAnchor>
    <xdr:from>
      <xdr:col>0</xdr:col>
      <xdr:colOff>409575</xdr:colOff>
      <xdr:row>1</xdr:row>
      <xdr:rowOff>168220</xdr:rowOff>
    </xdr:from>
    <xdr:ext cx="200025" cy="19373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31729F9-568E-31F2-7611-2651CB036358}"/>
            </a:ext>
          </a:extLst>
        </xdr:cNvPr>
        <xdr:cNvSpPr txBox="1"/>
      </xdr:nvSpPr>
      <xdr:spPr>
        <a:xfrm>
          <a:off x="40957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</a:p>
      </xdr:txBody>
    </xdr:sp>
    <xdr:clientData/>
  </xdr:oneCellAnchor>
  <xdr:oneCellAnchor>
    <xdr:from>
      <xdr:col>2</xdr:col>
      <xdr:colOff>561975</xdr:colOff>
      <xdr:row>1</xdr:row>
      <xdr:rowOff>168220</xdr:rowOff>
    </xdr:from>
    <xdr:ext cx="200025" cy="19373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9CAE701-0559-0426-29DE-29185D5B2790}"/>
            </a:ext>
          </a:extLst>
        </xdr:cNvPr>
        <xdr:cNvSpPr txBox="1"/>
      </xdr:nvSpPr>
      <xdr:spPr>
        <a:xfrm>
          <a:off x="149542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②</a:t>
          </a:r>
        </a:p>
      </xdr:txBody>
    </xdr:sp>
    <xdr:clientData/>
  </xdr:oneCellAnchor>
  <xdr:oneCellAnchor>
    <xdr:from>
      <xdr:col>2</xdr:col>
      <xdr:colOff>1933575</xdr:colOff>
      <xdr:row>1</xdr:row>
      <xdr:rowOff>168220</xdr:rowOff>
    </xdr:from>
    <xdr:ext cx="200025" cy="19373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507829E-0A93-0DFB-0936-4CB6D7EFBF68}"/>
            </a:ext>
          </a:extLst>
        </xdr:cNvPr>
        <xdr:cNvSpPr txBox="1"/>
      </xdr:nvSpPr>
      <xdr:spPr>
        <a:xfrm>
          <a:off x="286702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</a:p>
      </xdr:txBody>
    </xdr:sp>
    <xdr:clientData/>
  </xdr:oneCellAnchor>
  <xdr:oneCellAnchor>
    <xdr:from>
      <xdr:col>2</xdr:col>
      <xdr:colOff>2200275</xdr:colOff>
      <xdr:row>1</xdr:row>
      <xdr:rowOff>168220</xdr:rowOff>
    </xdr:from>
    <xdr:ext cx="200025" cy="19373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722E3F6-573F-2388-1C7B-4CC2081B50B3}"/>
            </a:ext>
          </a:extLst>
        </xdr:cNvPr>
        <xdr:cNvSpPr txBox="1"/>
      </xdr:nvSpPr>
      <xdr:spPr>
        <a:xfrm>
          <a:off x="313372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④</a:t>
          </a:r>
        </a:p>
      </xdr:txBody>
    </xdr:sp>
    <xdr:clientData/>
  </xdr:oneCellAnchor>
  <xdr:oneCellAnchor>
    <xdr:from>
      <xdr:col>2</xdr:col>
      <xdr:colOff>2524125</xdr:colOff>
      <xdr:row>1</xdr:row>
      <xdr:rowOff>168220</xdr:rowOff>
    </xdr:from>
    <xdr:ext cx="200025" cy="19373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3517FE3-893A-9AC2-B9E0-B89D921E4D02}"/>
            </a:ext>
          </a:extLst>
        </xdr:cNvPr>
        <xdr:cNvSpPr txBox="1"/>
      </xdr:nvSpPr>
      <xdr:spPr>
        <a:xfrm>
          <a:off x="345757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⑤</a:t>
          </a:r>
        </a:p>
      </xdr:txBody>
    </xdr:sp>
    <xdr:clientData/>
  </xdr:oneCellAnchor>
  <xdr:oneCellAnchor>
    <xdr:from>
      <xdr:col>2</xdr:col>
      <xdr:colOff>2847975</xdr:colOff>
      <xdr:row>1</xdr:row>
      <xdr:rowOff>168220</xdr:rowOff>
    </xdr:from>
    <xdr:ext cx="200025" cy="19373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45C48121-B19D-CFF3-E193-3E7A783DF040}"/>
            </a:ext>
          </a:extLst>
        </xdr:cNvPr>
        <xdr:cNvSpPr txBox="1"/>
      </xdr:nvSpPr>
      <xdr:spPr>
        <a:xfrm>
          <a:off x="378142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⑥</a:t>
          </a:r>
        </a:p>
      </xdr:txBody>
    </xdr:sp>
    <xdr:clientData/>
  </xdr:oneCellAnchor>
  <xdr:oneCellAnchor>
    <xdr:from>
      <xdr:col>2</xdr:col>
      <xdr:colOff>3171825</xdr:colOff>
      <xdr:row>1</xdr:row>
      <xdr:rowOff>168220</xdr:rowOff>
    </xdr:from>
    <xdr:ext cx="200025" cy="19373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CAC561FE-8ADD-83FF-ADF0-36F901A66EB4}"/>
            </a:ext>
          </a:extLst>
        </xdr:cNvPr>
        <xdr:cNvSpPr txBox="1"/>
      </xdr:nvSpPr>
      <xdr:spPr>
        <a:xfrm>
          <a:off x="410527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⑦</a:t>
          </a:r>
        </a:p>
      </xdr:txBody>
    </xdr:sp>
    <xdr:clientData/>
  </xdr:oneCellAnchor>
  <xdr:oneCellAnchor>
    <xdr:from>
      <xdr:col>2</xdr:col>
      <xdr:colOff>3743325</xdr:colOff>
      <xdr:row>1</xdr:row>
      <xdr:rowOff>168220</xdr:rowOff>
    </xdr:from>
    <xdr:ext cx="200025" cy="193730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C46C409-F2C3-CD19-7C50-244B55504FF1}"/>
            </a:ext>
          </a:extLst>
        </xdr:cNvPr>
        <xdr:cNvSpPr txBox="1"/>
      </xdr:nvSpPr>
      <xdr:spPr>
        <a:xfrm>
          <a:off x="467677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⑧</a:t>
          </a:r>
        </a:p>
      </xdr:txBody>
    </xdr:sp>
    <xdr:clientData/>
  </xdr:oneCellAnchor>
  <xdr:oneCellAnchor>
    <xdr:from>
      <xdr:col>2</xdr:col>
      <xdr:colOff>5657850</xdr:colOff>
      <xdr:row>1</xdr:row>
      <xdr:rowOff>168220</xdr:rowOff>
    </xdr:from>
    <xdr:ext cx="200025" cy="19373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E2B7752-5DC9-3283-4642-4689B8A333B3}"/>
            </a:ext>
          </a:extLst>
        </xdr:cNvPr>
        <xdr:cNvSpPr txBox="1"/>
      </xdr:nvSpPr>
      <xdr:spPr>
        <a:xfrm>
          <a:off x="6591300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⑨</a:t>
          </a:r>
        </a:p>
      </xdr:txBody>
    </xdr:sp>
    <xdr:clientData/>
  </xdr:oneCellAnchor>
  <xdr:oneCellAnchor>
    <xdr:from>
      <xdr:col>3</xdr:col>
      <xdr:colOff>152400</xdr:colOff>
      <xdr:row>1</xdr:row>
      <xdr:rowOff>168220</xdr:rowOff>
    </xdr:from>
    <xdr:ext cx="200025" cy="19373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08DB348E-8D4F-4E2C-979E-38C7731CB8E3}"/>
            </a:ext>
          </a:extLst>
        </xdr:cNvPr>
        <xdr:cNvSpPr txBox="1"/>
      </xdr:nvSpPr>
      <xdr:spPr>
        <a:xfrm>
          <a:off x="684847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⑩</a:t>
          </a:r>
        </a:p>
      </xdr:txBody>
    </xdr:sp>
    <xdr:clientData/>
  </xdr:oneCellAnchor>
  <xdr:oneCellAnchor>
    <xdr:from>
      <xdr:col>3</xdr:col>
      <xdr:colOff>381000</xdr:colOff>
      <xdr:row>1</xdr:row>
      <xdr:rowOff>168220</xdr:rowOff>
    </xdr:from>
    <xdr:ext cx="200025" cy="19373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A44ABDBC-4124-EF09-E8D0-52C3B8F6485D}"/>
            </a:ext>
          </a:extLst>
        </xdr:cNvPr>
        <xdr:cNvSpPr txBox="1"/>
      </xdr:nvSpPr>
      <xdr:spPr>
        <a:xfrm>
          <a:off x="707707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⑪</a:t>
          </a:r>
        </a:p>
      </xdr:txBody>
    </xdr:sp>
    <xdr:clientData/>
  </xdr:oneCellAnchor>
  <xdr:twoCellAnchor>
    <xdr:from>
      <xdr:col>3</xdr:col>
      <xdr:colOff>2181225</xdr:colOff>
      <xdr:row>2</xdr:row>
      <xdr:rowOff>171450</xdr:rowOff>
    </xdr:from>
    <xdr:to>
      <xdr:col>3</xdr:col>
      <xdr:colOff>2686050</xdr:colOff>
      <xdr:row>15</xdr:row>
      <xdr:rowOff>66675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810F760-2FBA-539D-072F-FA56D1E35B14}"/>
            </a:ext>
          </a:extLst>
        </xdr:cNvPr>
        <xdr:cNvSpPr/>
      </xdr:nvSpPr>
      <xdr:spPr>
        <a:xfrm>
          <a:off x="8877300" y="533400"/>
          <a:ext cx="504825" cy="224790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638175</xdr:colOff>
      <xdr:row>1</xdr:row>
      <xdr:rowOff>168220</xdr:rowOff>
    </xdr:from>
    <xdr:ext cx="200025" cy="19373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E3A775CE-1666-7E1D-8BC9-6947F625F0C6}"/>
            </a:ext>
          </a:extLst>
        </xdr:cNvPr>
        <xdr:cNvSpPr txBox="1"/>
      </xdr:nvSpPr>
      <xdr:spPr>
        <a:xfrm>
          <a:off x="7334250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⑫</a:t>
          </a:r>
        </a:p>
      </xdr:txBody>
    </xdr:sp>
    <xdr:clientData/>
  </xdr:oneCellAnchor>
  <xdr:oneCellAnchor>
    <xdr:from>
      <xdr:col>3</xdr:col>
      <xdr:colOff>990600</xdr:colOff>
      <xdr:row>1</xdr:row>
      <xdr:rowOff>168220</xdr:rowOff>
    </xdr:from>
    <xdr:ext cx="200025" cy="19373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EAE2E68F-5BE1-C3F1-0E1C-7833D754577F}"/>
            </a:ext>
          </a:extLst>
        </xdr:cNvPr>
        <xdr:cNvSpPr txBox="1"/>
      </xdr:nvSpPr>
      <xdr:spPr>
        <a:xfrm>
          <a:off x="768667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⑬</a:t>
          </a:r>
        </a:p>
      </xdr:txBody>
    </xdr:sp>
    <xdr:clientData/>
  </xdr:oneCellAnchor>
  <xdr:oneCellAnchor>
    <xdr:from>
      <xdr:col>3</xdr:col>
      <xdr:colOff>1390650</xdr:colOff>
      <xdr:row>1</xdr:row>
      <xdr:rowOff>168220</xdr:rowOff>
    </xdr:from>
    <xdr:ext cx="200025" cy="19373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3D33E321-C491-1F00-B352-2035ACBB0BEA}"/>
            </a:ext>
          </a:extLst>
        </xdr:cNvPr>
        <xdr:cNvSpPr txBox="1"/>
      </xdr:nvSpPr>
      <xdr:spPr>
        <a:xfrm>
          <a:off x="808672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⑭</a:t>
          </a:r>
        </a:p>
      </xdr:txBody>
    </xdr:sp>
    <xdr:clientData/>
  </xdr:oneCellAnchor>
  <xdr:oneCellAnchor>
    <xdr:from>
      <xdr:col>3</xdr:col>
      <xdr:colOff>2152650</xdr:colOff>
      <xdr:row>1</xdr:row>
      <xdr:rowOff>168220</xdr:rowOff>
    </xdr:from>
    <xdr:ext cx="200025" cy="193730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DBBBBF8E-4844-08C0-1B0B-9EAB20FB4C22}"/>
            </a:ext>
          </a:extLst>
        </xdr:cNvPr>
        <xdr:cNvSpPr txBox="1"/>
      </xdr:nvSpPr>
      <xdr:spPr>
        <a:xfrm>
          <a:off x="8848725" y="349195"/>
          <a:ext cx="200025" cy="193730"/>
        </a:xfrm>
        <a:prstGeom prst="rect">
          <a:avLst/>
        </a:prstGeom>
        <a:solidFill>
          <a:srgbClr val="002060"/>
        </a:solidFill>
        <a:ln w="28575" cmpd="dbl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lIns="36000" tIns="0" rIns="36000" bIns="0" rtlCol="0" anchor="b" anchorCtr="0">
          <a:noAutofit/>
        </a:bodyPr>
        <a:lstStyle/>
        <a:p>
          <a:r>
            <a:rPr kumimoji="1" lang="ja-JP" altLang="en-US" sz="105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⑮</a:t>
          </a:r>
        </a:p>
      </xdr:txBody>
    </xdr:sp>
    <xdr:clientData/>
  </xdr:oneCellAnchor>
  <xdr:twoCellAnchor>
    <xdr:from>
      <xdr:col>2</xdr:col>
      <xdr:colOff>1685926</xdr:colOff>
      <xdr:row>15</xdr:row>
      <xdr:rowOff>104775</xdr:rowOff>
    </xdr:from>
    <xdr:to>
      <xdr:col>2</xdr:col>
      <xdr:colOff>2124076</xdr:colOff>
      <xdr:row>16</xdr:row>
      <xdr:rowOff>104775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3BF83CC-6B8E-4980-81B2-1EBC4F320239}"/>
            </a:ext>
          </a:extLst>
        </xdr:cNvPr>
        <xdr:cNvSpPr/>
      </xdr:nvSpPr>
      <xdr:spPr>
        <a:xfrm>
          <a:off x="2619376" y="2819400"/>
          <a:ext cx="438150" cy="18097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1704975</xdr:colOff>
      <xdr:row>17</xdr:row>
      <xdr:rowOff>9525</xdr:rowOff>
    </xdr:from>
    <xdr:ext cx="3396443" cy="304058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6775A4A9-1A50-CC08-03E7-936809AC65ED}"/>
            </a:ext>
          </a:extLst>
        </xdr:cNvPr>
        <xdr:cNvSpPr txBox="1"/>
      </xdr:nvSpPr>
      <xdr:spPr>
        <a:xfrm>
          <a:off x="2638425" y="3086100"/>
          <a:ext cx="3396443" cy="304058"/>
        </a:xfrm>
        <a:prstGeom prst="rect">
          <a:avLst/>
        </a:prstGeom>
        <a:solidFill>
          <a:srgbClr val="FFFFCC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/>
        <a:p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注意：シート名は「</a:t>
          </a:r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swrt_</a:t>
          </a:r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」＋ 整数値</a:t>
          </a:r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(0</a:t>
          </a:r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15)</a:t>
          </a:r>
          <a:r>
            <a:rPr kumimoji="1" lang="ja-JP" altLang="en-US" sz="10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とする必要あり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20E9-F782-4F6A-8725-8CBF9121D324}">
  <dimension ref="A21:D36"/>
  <sheetViews>
    <sheetView workbookViewId="0">
      <selection activeCell="C1" sqref="C1"/>
    </sheetView>
  </sheetViews>
  <sheetFormatPr defaultRowHeight="14.25"/>
  <cols>
    <col min="1" max="1" width="4.85546875" bestFit="1" customWidth="1"/>
    <col min="3" max="3" width="86.42578125" bestFit="1" customWidth="1"/>
    <col min="4" max="4" width="108" customWidth="1"/>
  </cols>
  <sheetData>
    <row r="21" spans="1:4">
      <c r="A21" s="29" t="s">
        <v>448</v>
      </c>
      <c r="B21" s="29" t="s">
        <v>435</v>
      </c>
      <c r="C21" s="29" t="s">
        <v>436</v>
      </c>
      <c r="D21" s="29" t="s">
        <v>446</v>
      </c>
    </row>
    <row r="22" spans="1:4">
      <c r="A22" s="25" t="s">
        <v>449</v>
      </c>
      <c r="B22" s="25" t="s">
        <v>2</v>
      </c>
      <c r="C22" s="25" t="s">
        <v>438</v>
      </c>
      <c r="D22" s="25" t="s">
        <v>483</v>
      </c>
    </row>
    <row r="23" spans="1:4">
      <c r="A23" s="3" t="s">
        <v>450</v>
      </c>
      <c r="B23" s="3" t="s">
        <v>3</v>
      </c>
      <c r="C23" s="3" t="s">
        <v>439</v>
      </c>
      <c r="D23" s="30" t="s">
        <v>464</v>
      </c>
    </row>
    <row r="24" spans="1:4">
      <c r="A24" s="3" t="s">
        <v>451</v>
      </c>
      <c r="B24" s="3" t="s">
        <v>0</v>
      </c>
      <c r="C24" s="3" t="s">
        <v>440</v>
      </c>
      <c r="D24" s="31" t="s">
        <v>482</v>
      </c>
    </row>
    <row r="25" spans="1:4">
      <c r="A25" s="3" t="s">
        <v>452</v>
      </c>
      <c r="B25" s="3" t="s">
        <v>1</v>
      </c>
      <c r="C25" s="3" t="s">
        <v>441</v>
      </c>
      <c r="D25" s="32" t="s">
        <v>478</v>
      </c>
    </row>
    <row r="26" spans="1:4">
      <c r="A26" s="3" t="s">
        <v>453</v>
      </c>
      <c r="B26" s="3" t="s">
        <v>4</v>
      </c>
      <c r="C26" s="3" t="s">
        <v>442</v>
      </c>
      <c r="D26" s="3" t="s">
        <v>479</v>
      </c>
    </row>
    <row r="27" spans="1:4">
      <c r="A27" s="3" t="s">
        <v>454</v>
      </c>
      <c r="B27" s="3" t="s">
        <v>5</v>
      </c>
      <c r="C27" s="3" t="s">
        <v>443</v>
      </c>
      <c r="D27" s="3" t="s">
        <v>480</v>
      </c>
    </row>
    <row r="28" spans="1:4">
      <c r="A28" s="3" t="s">
        <v>455</v>
      </c>
      <c r="B28" s="3" t="s">
        <v>437</v>
      </c>
      <c r="C28" s="3" t="s">
        <v>444</v>
      </c>
      <c r="D28" s="3" t="s">
        <v>484</v>
      </c>
    </row>
    <row r="29" spans="1:4">
      <c r="A29" s="3" t="s">
        <v>456</v>
      </c>
      <c r="B29" s="3" t="s">
        <v>8</v>
      </c>
      <c r="C29" s="3" t="s">
        <v>445</v>
      </c>
      <c r="D29" s="3" t="s">
        <v>477</v>
      </c>
    </row>
    <row r="30" spans="1:4">
      <c r="A30" s="3" t="s">
        <v>457</v>
      </c>
      <c r="B30" s="3" t="s">
        <v>7</v>
      </c>
      <c r="C30" s="27" t="s">
        <v>467</v>
      </c>
      <c r="D30" s="3" t="s">
        <v>481</v>
      </c>
    </row>
    <row r="31" spans="1:4">
      <c r="A31" s="3" t="s">
        <v>458</v>
      </c>
      <c r="B31" s="3" t="s">
        <v>316</v>
      </c>
      <c r="C31" s="27" t="s">
        <v>466</v>
      </c>
      <c r="D31" s="3" t="s">
        <v>474</v>
      </c>
    </row>
    <row r="32" spans="1:4">
      <c r="A32" s="3" t="s">
        <v>459</v>
      </c>
      <c r="B32" s="3" t="s">
        <v>315</v>
      </c>
      <c r="C32" s="27" t="s">
        <v>473</v>
      </c>
      <c r="D32" s="3" t="s">
        <v>475</v>
      </c>
    </row>
    <row r="33" spans="1:4">
      <c r="A33" s="3" t="s">
        <v>460</v>
      </c>
      <c r="B33" s="3" t="s">
        <v>314</v>
      </c>
      <c r="C33" s="27" t="s">
        <v>465</v>
      </c>
      <c r="D33" s="3" t="s">
        <v>476</v>
      </c>
    </row>
    <row r="34" spans="1:4">
      <c r="A34" s="3" t="s">
        <v>461</v>
      </c>
      <c r="B34" s="3" t="s">
        <v>317</v>
      </c>
      <c r="C34" s="27" t="s">
        <v>468</v>
      </c>
      <c r="D34" s="3" t="s">
        <v>485</v>
      </c>
    </row>
    <row r="35" spans="1:4">
      <c r="A35" s="3" t="s">
        <v>462</v>
      </c>
      <c r="B35" s="3" t="s">
        <v>318</v>
      </c>
      <c r="C35" s="27" t="s">
        <v>469</v>
      </c>
      <c r="D35" s="3" t="s">
        <v>472</v>
      </c>
    </row>
    <row r="36" spans="1:4">
      <c r="A36" s="4" t="s">
        <v>463</v>
      </c>
      <c r="B36" s="4" t="s">
        <v>447</v>
      </c>
      <c r="C36" s="28" t="s">
        <v>470</v>
      </c>
      <c r="D36" s="4" t="s">
        <v>471</v>
      </c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EFC0-BFDD-4297-A87B-76FD936F7E12}">
  <dimension ref="A1:E126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16.28515625" bestFit="1" customWidth="1"/>
    <col min="2" max="2" width="5.42578125" bestFit="1" customWidth="1"/>
    <col min="3" max="3" width="6.5703125" bestFit="1" customWidth="1"/>
    <col min="4" max="4" width="18.7109375" bestFit="1" customWidth="1"/>
    <col min="5" max="5" width="66.7109375" bestFit="1" customWidth="1"/>
  </cols>
  <sheetData>
    <row r="1" spans="1:5">
      <c r="A1" s="5" t="s">
        <v>45</v>
      </c>
      <c r="B1" s="6" t="s">
        <v>7</v>
      </c>
      <c r="C1" s="6" t="s">
        <v>46</v>
      </c>
      <c r="D1" s="6" t="s">
        <v>47</v>
      </c>
      <c r="E1" s="6" t="s">
        <v>48</v>
      </c>
    </row>
    <row r="2" spans="1:5">
      <c r="A2" s="25" t="s">
        <v>131</v>
      </c>
      <c r="B2" s="25">
        <v>0</v>
      </c>
      <c r="C2" s="25">
        <v>6</v>
      </c>
      <c r="D2" s="26" t="s">
        <v>263</v>
      </c>
      <c r="E2" s="25" t="s">
        <v>507</v>
      </c>
    </row>
    <row r="3" spans="1:5">
      <c r="A3" s="3" t="s">
        <v>132</v>
      </c>
      <c r="B3" s="3">
        <v>1</v>
      </c>
      <c r="C3" s="3">
        <v>6</v>
      </c>
      <c r="D3" s="23" t="s">
        <v>263</v>
      </c>
      <c r="E3" s="3" t="s">
        <v>508</v>
      </c>
    </row>
    <row r="4" spans="1:5">
      <c r="A4" s="3" t="s">
        <v>133</v>
      </c>
      <c r="B4" s="3">
        <v>2</v>
      </c>
      <c r="C4" s="3">
        <v>5</v>
      </c>
      <c r="D4" s="23" t="s">
        <v>264</v>
      </c>
      <c r="E4" s="3" t="s">
        <v>509</v>
      </c>
    </row>
    <row r="5" spans="1:5">
      <c r="A5" s="3" t="s">
        <v>134</v>
      </c>
      <c r="B5" s="3">
        <v>3</v>
      </c>
      <c r="C5" s="3">
        <v>6</v>
      </c>
      <c r="D5" s="23" t="s">
        <v>266</v>
      </c>
      <c r="E5" s="3" t="s">
        <v>510</v>
      </c>
    </row>
    <row r="6" spans="1:5">
      <c r="A6" s="3" t="s">
        <v>135</v>
      </c>
      <c r="B6" s="3">
        <v>4</v>
      </c>
      <c r="C6" s="3">
        <v>5</v>
      </c>
      <c r="D6" s="23" t="s">
        <v>265</v>
      </c>
      <c r="E6" s="3" t="s">
        <v>511</v>
      </c>
    </row>
    <row r="7" spans="1:5">
      <c r="A7" s="3" t="s">
        <v>136</v>
      </c>
      <c r="B7" s="3">
        <v>5</v>
      </c>
      <c r="C7" s="3">
        <v>4</v>
      </c>
      <c r="D7" s="23" t="s">
        <v>267</v>
      </c>
      <c r="E7" s="3" t="s">
        <v>512</v>
      </c>
    </row>
    <row r="8" spans="1:5">
      <c r="A8" s="3" t="s">
        <v>137</v>
      </c>
      <c r="B8" s="3">
        <v>6</v>
      </c>
      <c r="C8" s="3">
        <v>3</v>
      </c>
      <c r="D8" s="23" t="s">
        <v>268</v>
      </c>
      <c r="E8" s="3" t="s">
        <v>513</v>
      </c>
    </row>
    <row r="9" spans="1:5">
      <c r="A9" s="3" t="s">
        <v>138</v>
      </c>
      <c r="B9" s="3">
        <v>7</v>
      </c>
      <c r="C9" s="3">
        <v>6</v>
      </c>
      <c r="D9" s="23" t="s">
        <v>263</v>
      </c>
      <c r="E9" s="3" t="s">
        <v>514</v>
      </c>
    </row>
    <row r="10" spans="1:5">
      <c r="A10" s="3" t="s">
        <v>139</v>
      </c>
      <c r="B10" s="3">
        <v>8</v>
      </c>
      <c r="C10" s="3">
        <v>5</v>
      </c>
      <c r="D10" s="23" t="s">
        <v>264</v>
      </c>
      <c r="E10" s="3" t="s">
        <v>515</v>
      </c>
    </row>
    <row r="11" spans="1:5">
      <c r="A11" s="3" t="s">
        <v>140</v>
      </c>
      <c r="B11" s="3">
        <v>9</v>
      </c>
      <c r="C11" s="3">
        <v>5</v>
      </c>
      <c r="D11" s="23" t="s">
        <v>264</v>
      </c>
      <c r="E11" s="3" t="s">
        <v>516</v>
      </c>
    </row>
    <row r="12" spans="1:5">
      <c r="A12" s="3" t="s">
        <v>141</v>
      </c>
      <c r="B12" s="3">
        <v>10</v>
      </c>
      <c r="C12" s="3">
        <v>1</v>
      </c>
      <c r="D12" s="23" t="s">
        <v>269</v>
      </c>
      <c r="E12" s="3" t="s">
        <v>517</v>
      </c>
    </row>
    <row r="13" spans="1:5">
      <c r="A13" s="3" t="s">
        <v>142</v>
      </c>
      <c r="B13" s="3">
        <v>11</v>
      </c>
      <c r="C13" s="3">
        <v>1</v>
      </c>
      <c r="D13" s="23" t="s">
        <v>269</v>
      </c>
      <c r="E13" s="3" t="s">
        <v>518</v>
      </c>
    </row>
    <row r="14" spans="1:5">
      <c r="A14" s="3" t="s">
        <v>143</v>
      </c>
      <c r="B14" s="3">
        <v>12</v>
      </c>
      <c r="C14" s="3">
        <v>1</v>
      </c>
      <c r="D14" s="23" t="s">
        <v>269</v>
      </c>
      <c r="E14" s="3" t="s">
        <v>519</v>
      </c>
    </row>
    <row r="15" spans="1:5">
      <c r="A15" s="3" t="s">
        <v>144</v>
      </c>
      <c r="B15" s="3">
        <v>13</v>
      </c>
      <c r="C15" s="3">
        <v>1</v>
      </c>
      <c r="D15" s="23" t="s">
        <v>269</v>
      </c>
      <c r="E15" s="3" t="s">
        <v>520</v>
      </c>
    </row>
    <row r="16" spans="1:5">
      <c r="A16" s="3" t="s">
        <v>145</v>
      </c>
      <c r="B16" s="3">
        <v>14</v>
      </c>
      <c r="C16" s="3">
        <v>5</v>
      </c>
      <c r="D16" s="23" t="s">
        <v>264</v>
      </c>
      <c r="E16" s="3" t="s">
        <v>521</v>
      </c>
    </row>
    <row r="17" spans="1:5">
      <c r="A17" s="3" t="s">
        <v>146</v>
      </c>
      <c r="B17" s="3">
        <v>15</v>
      </c>
      <c r="C17" s="3">
        <v>5</v>
      </c>
      <c r="D17" s="23" t="s">
        <v>264</v>
      </c>
      <c r="E17" s="3" t="s">
        <v>522</v>
      </c>
    </row>
    <row r="18" spans="1:5">
      <c r="A18" s="3" t="s">
        <v>147</v>
      </c>
      <c r="B18" s="3">
        <v>16</v>
      </c>
      <c r="C18" s="3">
        <v>3</v>
      </c>
      <c r="D18" s="23" t="s">
        <v>268</v>
      </c>
      <c r="E18" s="3" t="s">
        <v>523</v>
      </c>
    </row>
    <row r="19" spans="1:5">
      <c r="A19" s="3" t="s">
        <v>148</v>
      </c>
      <c r="B19" s="3">
        <v>17</v>
      </c>
      <c r="C19" s="3">
        <v>4</v>
      </c>
      <c r="D19" s="23" t="s">
        <v>270</v>
      </c>
      <c r="E19" s="3" t="s">
        <v>524</v>
      </c>
    </row>
    <row r="20" spans="1:5">
      <c r="A20" s="3" t="s">
        <v>149</v>
      </c>
      <c r="B20" s="3">
        <v>18</v>
      </c>
      <c r="C20" s="3">
        <v>1</v>
      </c>
      <c r="D20" s="23" t="s">
        <v>271</v>
      </c>
      <c r="E20" s="3" t="s">
        <v>525</v>
      </c>
    </row>
    <row r="21" spans="1:5">
      <c r="A21" s="3" t="s">
        <v>150</v>
      </c>
      <c r="B21" s="3">
        <v>19</v>
      </c>
      <c r="C21" s="3">
        <v>4</v>
      </c>
      <c r="D21" s="23" t="s">
        <v>270</v>
      </c>
      <c r="E21" s="3" t="s">
        <v>526</v>
      </c>
    </row>
    <row r="22" spans="1:5">
      <c r="A22" s="3" t="s">
        <v>151</v>
      </c>
      <c r="B22" s="3">
        <v>20</v>
      </c>
      <c r="C22" s="3">
        <v>4</v>
      </c>
      <c r="D22" s="23" t="s">
        <v>270</v>
      </c>
      <c r="E22" s="3" t="s">
        <v>527</v>
      </c>
    </row>
    <row r="23" spans="1:5">
      <c r="A23" s="3" t="s">
        <v>152</v>
      </c>
      <c r="B23" s="3">
        <v>21</v>
      </c>
      <c r="C23" s="3">
        <v>1</v>
      </c>
      <c r="D23" s="23" t="s">
        <v>271</v>
      </c>
      <c r="E23" s="3" t="s">
        <v>528</v>
      </c>
    </row>
    <row r="24" spans="1:5">
      <c r="A24" s="3" t="s">
        <v>153</v>
      </c>
      <c r="B24" s="3">
        <v>22</v>
      </c>
      <c r="C24" s="3">
        <v>4</v>
      </c>
      <c r="D24" s="23" t="s">
        <v>267</v>
      </c>
      <c r="E24" s="3" t="s">
        <v>529</v>
      </c>
    </row>
    <row r="25" spans="1:5">
      <c r="A25" s="3" t="s">
        <v>154</v>
      </c>
      <c r="B25" s="3">
        <v>23</v>
      </c>
      <c r="C25" s="3">
        <v>4</v>
      </c>
      <c r="D25" s="23" t="s">
        <v>270</v>
      </c>
      <c r="E25" s="3" t="s">
        <v>530</v>
      </c>
    </row>
    <row r="26" spans="1:5">
      <c r="A26" s="3" t="s">
        <v>155</v>
      </c>
      <c r="B26" s="3">
        <v>24</v>
      </c>
      <c r="C26" s="3">
        <v>2</v>
      </c>
      <c r="D26" s="23" t="s">
        <v>272</v>
      </c>
      <c r="E26" s="3" t="s">
        <v>531</v>
      </c>
    </row>
    <row r="27" spans="1:5">
      <c r="A27" s="3" t="s">
        <v>156</v>
      </c>
      <c r="B27" s="3">
        <v>25</v>
      </c>
      <c r="C27" s="3">
        <v>1</v>
      </c>
      <c r="D27" s="23" t="s">
        <v>271</v>
      </c>
      <c r="E27" s="3" t="s">
        <v>532</v>
      </c>
    </row>
    <row r="28" spans="1:5">
      <c r="A28" s="3" t="s">
        <v>157</v>
      </c>
      <c r="B28" s="3">
        <v>26</v>
      </c>
      <c r="C28" s="3">
        <v>4</v>
      </c>
      <c r="D28" s="23" t="s">
        <v>267</v>
      </c>
      <c r="E28" s="3" t="s">
        <v>533</v>
      </c>
    </row>
    <row r="29" spans="1:5">
      <c r="A29" s="3" t="s">
        <v>158</v>
      </c>
      <c r="B29" s="3">
        <v>27</v>
      </c>
      <c r="C29" s="3">
        <v>5</v>
      </c>
      <c r="D29" s="23" t="s">
        <v>273</v>
      </c>
      <c r="E29" s="3" t="s">
        <v>534</v>
      </c>
    </row>
    <row r="30" spans="1:5">
      <c r="A30" s="3" t="s">
        <v>159</v>
      </c>
      <c r="B30" s="3">
        <v>28</v>
      </c>
      <c r="C30" s="3">
        <v>6</v>
      </c>
      <c r="D30" s="23" t="s">
        <v>274</v>
      </c>
      <c r="E30" s="3" t="s">
        <v>535</v>
      </c>
    </row>
    <row r="31" spans="1:5">
      <c r="A31" s="3" t="s">
        <v>160</v>
      </c>
      <c r="B31" s="3">
        <v>29</v>
      </c>
      <c r="C31" s="3">
        <v>2</v>
      </c>
      <c r="D31" s="23" t="s">
        <v>272</v>
      </c>
      <c r="E31" s="3" t="s">
        <v>536</v>
      </c>
    </row>
    <row r="32" spans="1:5">
      <c r="A32" s="3" t="s">
        <v>161</v>
      </c>
      <c r="B32" s="3">
        <v>30</v>
      </c>
      <c r="C32" s="3">
        <v>4</v>
      </c>
      <c r="D32" s="23" t="s">
        <v>270</v>
      </c>
      <c r="E32" s="3" t="s">
        <v>537</v>
      </c>
    </row>
    <row r="33" spans="1:5">
      <c r="A33" s="3" t="s">
        <v>162</v>
      </c>
      <c r="B33" s="3">
        <v>31</v>
      </c>
      <c r="C33" s="3">
        <v>4</v>
      </c>
      <c r="D33" s="23" t="s">
        <v>270</v>
      </c>
      <c r="E33" s="3" t="s">
        <v>538</v>
      </c>
    </row>
    <row r="34" spans="1:5">
      <c r="A34" s="3" t="s">
        <v>163</v>
      </c>
      <c r="B34" s="3">
        <v>32</v>
      </c>
      <c r="C34" s="3">
        <v>2</v>
      </c>
      <c r="D34" s="23" t="s">
        <v>272</v>
      </c>
      <c r="E34" s="3" t="s">
        <v>539</v>
      </c>
    </row>
    <row r="35" spans="1:5">
      <c r="A35" s="3" t="s">
        <v>164</v>
      </c>
      <c r="B35" s="3">
        <v>33</v>
      </c>
      <c r="C35" s="3">
        <v>2</v>
      </c>
      <c r="D35" s="23" t="s">
        <v>272</v>
      </c>
      <c r="E35" s="3" t="s">
        <v>540</v>
      </c>
    </row>
    <row r="36" spans="1:5">
      <c r="A36" s="3" t="s">
        <v>165</v>
      </c>
      <c r="B36" s="3">
        <v>34</v>
      </c>
      <c r="C36" s="3">
        <v>3</v>
      </c>
      <c r="D36" s="23" t="s">
        <v>268</v>
      </c>
      <c r="E36" s="3" t="s">
        <v>541</v>
      </c>
    </row>
    <row r="37" spans="1:5">
      <c r="A37" s="3" t="s">
        <v>166</v>
      </c>
      <c r="B37" s="3">
        <v>35</v>
      </c>
      <c r="C37" s="3">
        <v>4</v>
      </c>
      <c r="D37" s="23" t="s">
        <v>270</v>
      </c>
      <c r="E37" s="3" t="s">
        <v>542</v>
      </c>
    </row>
    <row r="38" spans="1:5">
      <c r="A38" s="3" t="s">
        <v>167</v>
      </c>
      <c r="B38" s="3">
        <v>36</v>
      </c>
      <c r="C38" s="3">
        <v>4</v>
      </c>
      <c r="D38" s="23" t="s">
        <v>270</v>
      </c>
      <c r="E38" s="3" t="s">
        <v>543</v>
      </c>
    </row>
    <row r="39" spans="1:5">
      <c r="A39" s="3" t="s">
        <v>168</v>
      </c>
      <c r="B39" s="3">
        <v>37</v>
      </c>
      <c r="C39" s="3">
        <v>2</v>
      </c>
      <c r="D39" s="23" t="s">
        <v>275</v>
      </c>
      <c r="E39" s="3" t="s">
        <v>544</v>
      </c>
    </row>
    <row r="40" spans="1:5">
      <c r="A40" s="3" t="s">
        <v>169</v>
      </c>
      <c r="B40" s="3">
        <v>38</v>
      </c>
      <c r="C40" s="3">
        <v>4</v>
      </c>
      <c r="D40" s="23" t="s">
        <v>270</v>
      </c>
      <c r="E40" s="3" t="s">
        <v>545</v>
      </c>
    </row>
    <row r="41" spans="1:5">
      <c r="A41" s="3" t="s">
        <v>170</v>
      </c>
      <c r="B41" s="3">
        <v>39</v>
      </c>
      <c r="C41" s="3">
        <v>1</v>
      </c>
      <c r="D41" s="23" t="s">
        <v>271</v>
      </c>
      <c r="E41" s="3" t="s">
        <v>546</v>
      </c>
    </row>
    <row r="42" spans="1:5">
      <c r="A42" s="3" t="s">
        <v>171</v>
      </c>
      <c r="B42" s="3">
        <v>40</v>
      </c>
      <c r="C42" s="3">
        <v>4</v>
      </c>
      <c r="D42" s="23" t="s">
        <v>270</v>
      </c>
      <c r="E42" s="3" t="s">
        <v>547</v>
      </c>
    </row>
    <row r="43" spans="1:5">
      <c r="A43" s="3" t="s">
        <v>172</v>
      </c>
      <c r="B43" s="3">
        <v>41</v>
      </c>
      <c r="C43" s="3">
        <v>6</v>
      </c>
      <c r="D43" s="23" t="s">
        <v>276</v>
      </c>
      <c r="E43" s="3" t="s">
        <v>548</v>
      </c>
    </row>
    <row r="44" spans="1:5">
      <c r="A44" s="3" t="s">
        <v>173</v>
      </c>
      <c r="B44" s="3">
        <v>42</v>
      </c>
      <c r="C44" s="3">
        <v>5</v>
      </c>
      <c r="D44" s="23" t="s">
        <v>265</v>
      </c>
      <c r="E44" s="3" t="s">
        <v>549</v>
      </c>
    </row>
    <row r="45" spans="1:5">
      <c r="A45" s="3" t="s">
        <v>174</v>
      </c>
      <c r="B45" s="3">
        <v>43</v>
      </c>
      <c r="C45" s="3">
        <v>5</v>
      </c>
      <c r="D45" s="23" t="s">
        <v>265</v>
      </c>
      <c r="E45" s="3" t="s">
        <v>550</v>
      </c>
    </row>
    <row r="46" spans="1:5">
      <c r="A46" s="3" t="s">
        <v>175</v>
      </c>
      <c r="B46" s="3">
        <v>44</v>
      </c>
      <c r="C46" s="3">
        <v>2</v>
      </c>
      <c r="D46" s="23" t="s">
        <v>272</v>
      </c>
      <c r="E46" s="3" t="s">
        <v>551</v>
      </c>
    </row>
    <row r="47" spans="1:5">
      <c r="A47" s="3" t="s">
        <v>176</v>
      </c>
      <c r="B47" s="3">
        <v>45</v>
      </c>
      <c r="C47" s="3">
        <v>4</v>
      </c>
      <c r="D47" s="23" t="s">
        <v>270</v>
      </c>
      <c r="E47" s="3" t="s">
        <v>552</v>
      </c>
    </row>
    <row r="48" spans="1:5">
      <c r="A48" s="3" t="s">
        <v>177</v>
      </c>
      <c r="B48" s="3">
        <v>46</v>
      </c>
      <c r="C48" s="3">
        <v>6</v>
      </c>
      <c r="D48" s="23" t="s">
        <v>281</v>
      </c>
      <c r="E48" s="3" t="s">
        <v>553</v>
      </c>
    </row>
    <row r="49" spans="1:5">
      <c r="A49" s="3" t="s">
        <v>178</v>
      </c>
      <c r="B49" s="3">
        <v>47</v>
      </c>
      <c r="C49" s="3">
        <v>6</v>
      </c>
      <c r="D49" s="23" t="s">
        <v>277</v>
      </c>
      <c r="E49" s="3" t="s">
        <v>554</v>
      </c>
    </row>
    <row r="50" spans="1:5">
      <c r="A50" s="3" t="s">
        <v>179</v>
      </c>
      <c r="B50" s="3">
        <v>48</v>
      </c>
      <c r="C50" s="3">
        <v>5</v>
      </c>
      <c r="D50" s="23" t="s">
        <v>265</v>
      </c>
      <c r="E50" s="3" t="s">
        <v>555</v>
      </c>
    </row>
    <row r="51" spans="1:5">
      <c r="A51" s="3" t="s">
        <v>180</v>
      </c>
      <c r="B51" s="3">
        <v>49</v>
      </c>
      <c r="C51" s="3">
        <v>8</v>
      </c>
      <c r="D51" s="23" t="s">
        <v>278</v>
      </c>
      <c r="E51" s="3" t="s">
        <v>556</v>
      </c>
    </row>
    <row r="52" spans="1:5">
      <c r="A52" s="3" t="s">
        <v>181</v>
      </c>
      <c r="B52" s="3">
        <v>50</v>
      </c>
      <c r="C52" s="3">
        <v>5</v>
      </c>
      <c r="D52" s="23" t="s">
        <v>264</v>
      </c>
      <c r="E52" s="3" t="s">
        <v>557</v>
      </c>
    </row>
    <row r="53" spans="1:5">
      <c r="A53" s="3" t="s">
        <v>182</v>
      </c>
      <c r="B53" s="3">
        <v>51</v>
      </c>
      <c r="C53" s="3">
        <v>5</v>
      </c>
      <c r="D53" s="23" t="s">
        <v>264</v>
      </c>
      <c r="E53" s="3" t="s">
        <v>558</v>
      </c>
    </row>
    <row r="54" spans="1:5">
      <c r="A54" s="3" t="s">
        <v>183</v>
      </c>
      <c r="B54" s="3">
        <v>52</v>
      </c>
      <c r="C54" s="3">
        <v>4</v>
      </c>
      <c r="D54" s="23" t="s">
        <v>279</v>
      </c>
      <c r="E54" s="3" t="s">
        <v>559</v>
      </c>
    </row>
    <row r="55" spans="1:5">
      <c r="A55" s="3" t="s">
        <v>184</v>
      </c>
      <c r="B55" s="3">
        <v>53</v>
      </c>
      <c r="C55" s="3">
        <v>2</v>
      </c>
      <c r="D55" s="23" t="s">
        <v>272</v>
      </c>
      <c r="E55" s="3" t="s">
        <v>560</v>
      </c>
    </row>
    <row r="56" spans="1:5">
      <c r="A56" s="3" t="s">
        <v>185</v>
      </c>
      <c r="B56" s="3">
        <v>54</v>
      </c>
      <c r="C56" s="3">
        <v>4</v>
      </c>
      <c r="D56" s="23" t="s">
        <v>267</v>
      </c>
      <c r="E56" s="3" t="s">
        <v>561</v>
      </c>
    </row>
    <row r="57" spans="1:5">
      <c r="A57" s="3" t="s">
        <v>186</v>
      </c>
      <c r="B57" s="3">
        <v>55</v>
      </c>
      <c r="C57" s="3">
        <v>4</v>
      </c>
      <c r="D57" s="23" t="s">
        <v>267</v>
      </c>
      <c r="E57" s="3" t="s">
        <v>562</v>
      </c>
    </row>
    <row r="58" spans="1:5">
      <c r="A58" s="3" t="s">
        <v>187</v>
      </c>
      <c r="B58" s="3">
        <v>56</v>
      </c>
      <c r="C58" s="3">
        <v>5</v>
      </c>
      <c r="D58" s="23" t="s">
        <v>282</v>
      </c>
      <c r="E58" s="3" t="s">
        <v>563</v>
      </c>
    </row>
    <row r="59" spans="1:5">
      <c r="A59" s="3" t="s">
        <v>188</v>
      </c>
      <c r="B59" s="3">
        <v>57</v>
      </c>
      <c r="C59" s="3">
        <v>4</v>
      </c>
      <c r="D59" s="23" t="s">
        <v>280</v>
      </c>
      <c r="E59" s="3" t="s">
        <v>564</v>
      </c>
    </row>
    <row r="60" spans="1:5">
      <c r="A60" s="3" t="s">
        <v>189</v>
      </c>
      <c r="B60" s="3">
        <v>58</v>
      </c>
      <c r="C60" s="3">
        <v>6</v>
      </c>
      <c r="D60" s="23" t="s">
        <v>276</v>
      </c>
      <c r="E60" s="3" t="s">
        <v>565</v>
      </c>
    </row>
    <row r="61" spans="1:5">
      <c r="A61" s="3" t="s">
        <v>190</v>
      </c>
      <c r="B61" s="3">
        <v>59</v>
      </c>
      <c r="C61" s="3">
        <v>2</v>
      </c>
      <c r="D61" s="23" t="s">
        <v>272</v>
      </c>
      <c r="E61" s="3" t="s">
        <v>566</v>
      </c>
    </row>
    <row r="62" spans="1:5">
      <c r="A62" s="3" t="s">
        <v>191</v>
      </c>
      <c r="B62" s="3">
        <v>60</v>
      </c>
      <c r="C62" s="3">
        <v>1</v>
      </c>
      <c r="D62" s="23" t="s">
        <v>271</v>
      </c>
      <c r="E62" s="3" t="s">
        <v>567</v>
      </c>
    </row>
    <row r="63" spans="1:5">
      <c r="A63" s="3" t="s">
        <v>192</v>
      </c>
      <c r="B63" s="3">
        <v>61</v>
      </c>
      <c r="C63" s="3">
        <v>1</v>
      </c>
      <c r="D63" s="23" t="s">
        <v>271</v>
      </c>
      <c r="E63" s="3" t="s">
        <v>568</v>
      </c>
    </row>
    <row r="64" spans="1:5">
      <c r="A64" s="3" t="s">
        <v>193</v>
      </c>
      <c r="B64" s="3">
        <v>62</v>
      </c>
      <c r="C64" s="3">
        <v>1</v>
      </c>
      <c r="D64" s="23" t="s">
        <v>271</v>
      </c>
      <c r="E64" s="3" t="s">
        <v>569</v>
      </c>
    </row>
    <row r="65" spans="1:5">
      <c r="A65" s="3" t="s">
        <v>194</v>
      </c>
      <c r="B65" s="3">
        <v>63</v>
      </c>
      <c r="C65" s="3">
        <v>1</v>
      </c>
      <c r="D65" s="23" t="s">
        <v>271</v>
      </c>
      <c r="E65" s="3" t="s">
        <v>570</v>
      </c>
    </row>
    <row r="66" spans="1:5">
      <c r="A66" s="3" t="s">
        <v>195</v>
      </c>
      <c r="B66" s="3">
        <v>64</v>
      </c>
      <c r="C66" s="3">
        <v>1</v>
      </c>
      <c r="D66" s="23" t="s">
        <v>213</v>
      </c>
      <c r="E66" s="3" t="s">
        <v>49</v>
      </c>
    </row>
    <row r="67" spans="1:5">
      <c r="A67" s="3" t="s">
        <v>196</v>
      </c>
      <c r="B67" s="3">
        <v>65</v>
      </c>
      <c r="C67" s="3">
        <v>2</v>
      </c>
      <c r="D67" s="23" t="s">
        <v>214</v>
      </c>
      <c r="E67" s="3" t="s">
        <v>50</v>
      </c>
    </row>
    <row r="68" spans="1:5">
      <c r="A68" s="3" t="s">
        <v>197</v>
      </c>
      <c r="B68" s="3">
        <v>66</v>
      </c>
      <c r="C68" s="3">
        <v>3</v>
      </c>
      <c r="D68" s="23" t="s">
        <v>215</v>
      </c>
      <c r="E68" s="3" t="s">
        <v>51</v>
      </c>
    </row>
    <row r="69" spans="1:5">
      <c r="A69" s="3" t="s">
        <v>198</v>
      </c>
      <c r="B69" s="3">
        <v>67</v>
      </c>
      <c r="C69" s="3">
        <v>4</v>
      </c>
      <c r="D69" s="23" t="s">
        <v>216</v>
      </c>
      <c r="E69" s="3" t="s">
        <v>52</v>
      </c>
    </row>
    <row r="70" spans="1:5">
      <c r="A70" s="3" t="s">
        <v>199</v>
      </c>
      <c r="B70" s="3">
        <v>68</v>
      </c>
      <c r="C70" s="3">
        <v>8</v>
      </c>
      <c r="D70" s="23" t="s">
        <v>217</v>
      </c>
      <c r="E70" s="3" t="s">
        <v>53</v>
      </c>
    </row>
    <row r="71" spans="1:5">
      <c r="A71" s="3" t="s">
        <v>200</v>
      </c>
      <c r="B71" s="3">
        <v>100</v>
      </c>
      <c r="C71" s="3">
        <v>1</v>
      </c>
      <c r="D71" s="23" t="s">
        <v>218</v>
      </c>
      <c r="E71" s="3" t="s">
        <v>54</v>
      </c>
    </row>
    <row r="72" spans="1:5">
      <c r="A72" s="3" t="s">
        <v>201</v>
      </c>
      <c r="B72" s="3">
        <v>101</v>
      </c>
      <c r="C72" s="3">
        <v>1</v>
      </c>
      <c r="D72" s="23" t="s">
        <v>218</v>
      </c>
      <c r="E72" s="3" t="s">
        <v>55</v>
      </c>
    </row>
    <row r="73" spans="1:5">
      <c r="A73" s="3" t="s">
        <v>202</v>
      </c>
      <c r="B73" s="3">
        <v>102</v>
      </c>
      <c r="C73" s="3">
        <v>1</v>
      </c>
      <c r="D73" s="23" t="s">
        <v>218</v>
      </c>
      <c r="E73" s="3" t="s">
        <v>56</v>
      </c>
    </row>
    <row r="74" spans="1:5">
      <c r="A74" s="3" t="s">
        <v>203</v>
      </c>
      <c r="B74" s="3">
        <v>103</v>
      </c>
      <c r="C74" s="3">
        <v>1</v>
      </c>
      <c r="D74" s="23" t="s">
        <v>218</v>
      </c>
      <c r="E74" s="3" t="s">
        <v>57</v>
      </c>
    </row>
    <row r="75" spans="1:5">
      <c r="A75" s="3" t="s">
        <v>204</v>
      </c>
      <c r="B75" s="3">
        <v>128</v>
      </c>
      <c r="C75" s="3">
        <v>4</v>
      </c>
      <c r="D75" s="23" t="s">
        <v>219</v>
      </c>
      <c r="E75" s="3" t="s">
        <v>58</v>
      </c>
    </row>
    <row r="76" spans="1:5">
      <c r="A76" s="3" t="s">
        <v>205</v>
      </c>
      <c r="B76" s="3">
        <v>129</v>
      </c>
      <c r="C76" s="3">
        <v>8</v>
      </c>
      <c r="D76" s="23" t="s">
        <v>220</v>
      </c>
      <c r="E76" s="3" t="s">
        <v>59</v>
      </c>
    </row>
    <row r="77" spans="1:5">
      <c r="A77" s="3" t="s">
        <v>206</v>
      </c>
      <c r="B77" s="3">
        <v>130</v>
      </c>
      <c r="C77" s="3">
        <v>12</v>
      </c>
      <c r="D77" s="23" t="s">
        <v>221</v>
      </c>
      <c r="E77" s="3" t="s">
        <v>60</v>
      </c>
    </row>
    <row r="78" spans="1:5">
      <c r="A78" s="3" t="s">
        <v>207</v>
      </c>
      <c r="B78" s="3">
        <v>131</v>
      </c>
      <c r="C78" s="3">
        <v>16</v>
      </c>
      <c r="D78" s="23" t="s">
        <v>222</v>
      </c>
      <c r="E78" s="3" t="s">
        <v>61</v>
      </c>
    </row>
    <row r="79" spans="1:5">
      <c r="A79" s="3" t="s">
        <v>208</v>
      </c>
      <c r="B79" s="3">
        <v>192</v>
      </c>
      <c r="C79" s="3">
        <v>4</v>
      </c>
      <c r="D79" s="23"/>
      <c r="E79" s="3" t="s">
        <v>62</v>
      </c>
    </row>
    <row r="80" spans="1:5">
      <c r="A80" s="3" t="s">
        <v>209</v>
      </c>
      <c r="B80" s="3">
        <v>193</v>
      </c>
      <c r="C80" s="3">
        <v>8</v>
      </c>
      <c r="D80" s="23"/>
      <c r="E80" s="3" t="s">
        <v>63</v>
      </c>
    </row>
    <row r="81" spans="1:5">
      <c r="A81" s="3" t="s">
        <v>210</v>
      </c>
      <c r="B81" s="3">
        <v>194</v>
      </c>
      <c r="C81" s="3">
        <v>12</v>
      </c>
      <c r="D81" s="23"/>
      <c r="E81" s="3" t="s">
        <v>64</v>
      </c>
    </row>
    <row r="82" spans="1:5">
      <c r="A82" s="3" t="s">
        <v>211</v>
      </c>
      <c r="B82" s="3">
        <v>195</v>
      </c>
      <c r="C82" s="3">
        <v>16</v>
      </c>
      <c r="D82" s="23"/>
      <c r="E82" s="3" t="s">
        <v>65</v>
      </c>
    </row>
    <row r="83" spans="1:5">
      <c r="A83" s="3" t="s">
        <v>212</v>
      </c>
      <c r="B83" s="3">
        <v>196</v>
      </c>
      <c r="C83" s="3">
        <v>4</v>
      </c>
      <c r="D83" s="23"/>
      <c r="E83" s="3" t="s">
        <v>62</v>
      </c>
    </row>
    <row r="84" spans="1:5">
      <c r="A84" s="3" t="s">
        <v>108</v>
      </c>
      <c r="B84" s="3">
        <v>200</v>
      </c>
      <c r="C84" s="3">
        <v>6</v>
      </c>
      <c r="D84" s="23" t="s">
        <v>223</v>
      </c>
      <c r="E84" s="3" t="s">
        <v>66</v>
      </c>
    </row>
    <row r="85" spans="1:5">
      <c r="A85" s="3" t="s">
        <v>109</v>
      </c>
      <c r="B85" s="3">
        <v>201</v>
      </c>
      <c r="C85" s="3">
        <v>4</v>
      </c>
      <c r="D85" s="23" t="s">
        <v>224</v>
      </c>
      <c r="E85" s="3" t="s">
        <v>67</v>
      </c>
    </row>
    <row r="86" spans="1:5">
      <c r="A86" s="3" t="s">
        <v>110</v>
      </c>
      <c r="B86" s="3">
        <v>202</v>
      </c>
      <c r="C86" s="3">
        <v>6</v>
      </c>
      <c r="D86" s="23" t="s">
        <v>225</v>
      </c>
      <c r="E86" s="3" t="s">
        <v>68</v>
      </c>
    </row>
    <row r="87" spans="1:5">
      <c r="A87" s="3" t="s">
        <v>111</v>
      </c>
      <c r="B87" s="3">
        <v>203</v>
      </c>
      <c r="C87" s="3">
        <v>7</v>
      </c>
      <c r="D87" s="23" t="s">
        <v>226</v>
      </c>
      <c r="E87" s="3" t="s">
        <v>69</v>
      </c>
    </row>
    <row r="88" spans="1:5">
      <c r="A88" s="3" t="s">
        <v>112</v>
      </c>
      <c r="B88" s="3">
        <v>204</v>
      </c>
      <c r="C88" s="3">
        <v>6</v>
      </c>
      <c r="D88" s="23" t="s">
        <v>223</v>
      </c>
      <c r="E88" s="3" t="s">
        <v>70</v>
      </c>
    </row>
    <row r="89" spans="1:5">
      <c r="A89" s="3" t="s">
        <v>113</v>
      </c>
      <c r="B89" s="3">
        <v>205</v>
      </c>
      <c r="C89" s="3">
        <v>0</v>
      </c>
      <c r="D89" s="23"/>
      <c r="E89" s="3" t="s">
        <v>71</v>
      </c>
    </row>
    <row r="90" spans="1:5">
      <c r="A90" s="3" t="s">
        <v>114</v>
      </c>
      <c r="B90" s="3">
        <v>206</v>
      </c>
      <c r="C90" s="3">
        <v>0</v>
      </c>
      <c r="D90" s="23"/>
      <c r="E90" s="3" t="s">
        <v>72</v>
      </c>
    </row>
    <row r="91" spans="1:5">
      <c r="A91" s="3" t="s">
        <v>115</v>
      </c>
      <c r="B91" s="3">
        <v>207</v>
      </c>
      <c r="C91" s="3">
        <v>0</v>
      </c>
      <c r="D91" s="23"/>
      <c r="E91" s="3" t="s">
        <v>73</v>
      </c>
    </row>
    <row r="92" spans="1:5">
      <c r="A92" s="3" t="s">
        <v>116</v>
      </c>
      <c r="B92" s="3">
        <v>208</v>
      </c>
      <c r="C92" s="3">
        <v>0</v>
      </c>
      <c r="D92" s="23"/>
      <c r="E92" s="3" t="s">
        <v>74</v>
      </c>
    </row>
    <row r="93" spans="1:5">
      <c r="A93" s="3" t="s">
        <v>117</v>
      </c>
      <c r="B93" s="3">
        <v>209</v>
      </c>
      <c r="C93" s="3">
        <v>0</v>
      </c>
      <c r="D93" s="23"/>
      <c r="E93" s="3" t="s">
        <v>75</v>
      </c>
    </row>
    <row r="94" spans="1:5">
      <c r="A94" s="3" t="s">
        <v>118</v>
      </c>
      <c r="B94" s="3">
        <v>210</v>
      </c>
      <c r="C94" s="3">
        <v>0</v>
      </c>
      <c r="D94" s="23"/>
      <c r="E94" s="3" t="s">
        <v>76</v>
      </c>
    </row>
    <row r="95" spans="1:5">
      <c r="A95" s="3" t="s">
        <v>119</v>
      </c>
      <c r="B95" s="3">
        <v>211</v>
      </c>
      <c r="C95" s="3">
        <v>0</v>
      </c>
      <c r="D95" s="23"/>
      <c r="E95" s="3" t="s">
        <v>77</v>
      </c>
    </row>
    <row r="96" spans="1:5">
      <c r="A96" s="3" t="s">
        <v>120</v>
      </c>
      <c r="B96" s="3">
        <v>212</v>
      </c>
      <c r="C96" s="3">
        <v>0</v>
      </c>
      <c r="D96" s="23"/>
      <c r="E96" s="3" t="s">
        <v>78</v>
      </c>
    </row>
    <row r="97" spans="1:5">
      <c r="A97" s="3" t="s">
        <v>121</v>
      </c>
      <c r="B97" s="3">
        <v>213</v>
      </c>
      <c r="C97" s="3">
        <v>0</v>
      </c>
      <c r="D97" s="23"/>
      <c r="E97" s="3" t="s">
        <v>79</v>
      </c>
    </row>
    <row r="98" spans="1:5">
      <c r="A98" s="3" t="s">
        <v>122</v>
      </c>
      <c r="B98" s="3">
        <v>214</v>
      </c>
      <c r="C98" s="3">
        <v>0</v>
      </c>
      <c r="D98" s="23"/>
      <c r="E98" s="3" t="s">
        <v>80</v>
      </c>
    </row>
    <row r="99" spans="1:5">
      <c r="A99" s="3" t="s">
        <v>123</v>
      </c>
      <c r="B99" s="3">
        <v>215</v>
      </c>
      <c r="C99" s="3">
        <v>0</v>
      </c>
      <c r="D99" s="23"/>
      <c r="E99" s="3" t="s">
        <v>81</v>
      </c>
    </row>
    <row r="100" spans="1:5">
      <c r="A100" s="3" t="s">
        <v>124</v>
      </c>
      <c r="B100" s="3">
        <v>216</v>
      </c>
      <c r="C100" s="3">
        <v>0</v>
      </c>
      <c r="D100" s="23"/>
      <c r="E100" s="3" t="s">
        <v>82</v>
      </c>
    </row>
    <row r="101" spans="1:5">
      <c r="A101" s="3" t="s">
        <v>125</v>
      </c>
      <c r="B101" s="3">
        <v>217</v>
      </c>
      <c r="C101" s="3">
        <v>0</v>
      </c>
      <c r="D101" s="23"/>
      <c r="E101" s="3" t="s">
        <v>83</v>
      </c>
    </row>
    <row r="102" spans="1:5">
      <c r="A102" s="3" t="s">
        <v>126</v>
      </c>
      <c r="B102" s="3">
        <v>218</v>
      </c>
      <c r="C102" s="3">
        <v>0</v>
      </c>
      <c r="D102" s="23"/>
      <c r="E102" s="3" t="s">
        <v>84</v>
      </c>
    </row>
    <row r="103" spans="1:5">
      <c r="A103" s="3" t="s">
        <v>127</v>
      </c>
      <c r="B103" s="3">
        <v>219</v>
      </c>
      <c r="C103" s="3">
        <v>8</v>
      </c>
      <c r="D103" s="23" t="s">
        <v>234</v>
      </c>
      <c r="E103" s="3" t="s">
        <v>85</v>
      </c>
    </row>
    <row r="104" spans="1:5">
      <c r="A104" s="3" t="s">
        <v>227</v>
      </c>
      <c r="B104" s="3">
        <v>220</v>
      </c>
      <c r="C104" s="3">
        <v>4</v>
      </c>
      <c r="D104" s="23" t="s">
        <v>224</v>
      </c>
      <c r="E104" s="3" t="s">
        <v>86</v>
      </c>
    </row>
    <row r="105" spans="1:5">
      <c r="A105" s="3" t="s">
        <v>228</v>
      </c>
      <c r="B105" s="3">
        <v>221</v>
      </c>
      <c r="C105" s="3">
        <v>6</v>
      </c>
      <c r="D105" s="23" t="s">
        <v>235</v>
      </c>
      <c r="E105" s="3" t="s">
        <v>87</v>
      </c>
    </row>
    <row r="106" spans="1:5">
      <c r="A106" s="3" t="s">
        <v>229</v>
      </c>
      <c r="B106" s="3">
        <v>222</v>
      </c>
      <c r="C106" s="3">
        <v>11</v>
      </c>
      <c r="D106" s="23" t="s">
        <v>236</v>
      </c>
      <c r="E106" s="3" t="s">
        <v>88</v>
      </c>
    </row>
    <row r="107" spans="1:5">
      <c r="A107" s="3" t="s">
        <v>230</v>
      </c>
      <c r="B107" s="3">
        <v>229</v>
      </c>
      <c r="C107" s="3">
        <v>7</v>
      </c>
      <c r="D107" s="23" t="s">
        <v>237</v>
      </c>
      <c r="E107" s="3" t="s">
        <v>89</v>
      </c>
    </row>
    <row r="108" spans="1:5">
      <c r="A108" s="3" t="s">
        <v>231</v>
      </c>
      <c r="B108" s="3">
        <v>230</v>
      </c>
      <c r="C108" s="3">
        <v>4</v>
      </c>
      <c r="D108" s="23" t="s">
        <v>238</v>
      </c>
      <c r="E108" s="3" t="s">
        <v>90</v>
      </c>
    </row>
    <row r="109" spans="1:5">
      <c r="A109" s="3" t="s">
        <v>232</v>
      </c>
      <c r="B109" s="3">
        <v>231</v>
      </c>
      <c r="C109" s="3">
        <v>6</v>
      </c>
      <c r="D109" s="23" t="s">
        <v>239</v>
      </c>
      <c r="E109" s="3" t="s">
        <v>91</v>
      </c>
    </row>
    <row r="110" spans="1:5">
      <c r="A110" s="3" t="s">
        <v>233</v>
      </c>
      <c r="B110" s="3">
        <v>232</v>
      </c>
      <c r="C110" s="3">
        <v>11</v>
      </c>
      <c r="D110" s="23" t="s">
        <v>240</v>
      </c>
      <c r="E110" s="3" t="s">
        <v>92</v>
      </c>
    </row>
    <row r="111" spans="1:5">
      <c r="A111" s="3" t="s">
        <v>241</v>
      </c>
      <c r="B111" s="3">
        <v>236</v>
      </c>
      <c r="C111" s="3">
        <v>5</v>
      </c>
      <c r="D111" s="23" t="s">
        <v>242</v>
      </c>
      <c r="E111" s="3" t="s">
        <v>93</v>
      </c>
    </row>
    <row r="112" spans="1:5">
      <c r="A112" s="3" t="s">
        <v>244</v>
      </c>
      <c r="B112" s="3">
        <v>237</v>
      </c>
      <c r="C112" s="3">
        <v>4</v>
      </c>
      <c r="D112" s="23" t="s">
        <v>243</v>
      </c>
      <c r="E112" s="3" t="s">
        <v>94</v>
      </c>
    </row>
    <row r="113" spans="1:5">
      <c r="A113" s="3" t="s">
        <v>246</v>
      </c>
      <c r="B113" s="3">
        <v>238</v>
      </c>
      <c r="C113" s="3">
        <v>4</v>
      </c>
      <c r="D113" s="23" t="s">
        <v>243</v>
      </c>
      <c r="E113" s="3" t="s">
        <v>95</v>
      </c>
    </row>
    <row r="114" spans="1:5">
      <c r="A114" s="3" t="s">
        <v>245</v>
      </c>
      <c r="B114" s="3">
        <v>239</v>
      </c>
      <c r="C114" s="3">
        <v>4</v>
      </c>
      <c r="D114" s="23" t="s">
        <v>247</v>
      </c>
      <c r="E114" s="3" t="s">
        <v>96</v>
      </c>
    </row>
    <row r="115" spans="1:5">
      <c r="A115" s="3" t="s">
        <v>248</v>
      </c>
      <c r="B115" s="3">
        <v>240</v>
      </c>
      <c r="C115" s="3">
        <v>8</v>
      </c>
      <c r="D115" s="23" t="s">
        <v>249</v>
      </c>
      <c r="E115" s="3" t="s">
        <v>97</v>
      </c>
    </row>
    <row r="116" spans="1:5">
      <c r="A116" s="3" t="s">
        <v>251</v>
      </c>
      <c r="B116" s="3">
        <v>241</v>
      </c>
      <c r="C116" s="3">
        <v>8</v>
      </c>
      <c r="D116" s="23" t="s">
        <v>249</v>
      </c>
      <c r="E116" s="3" t="s">
        <v>98</v>
      </c>
    </row>
    <row r="117" spans="1:5">
      <c r="A117" s="3" t="s">
        <v>255</v>
      </c>
      <c r="B117" s="3">
        <v>242</v>
      </c>
      <c r="C117" s="3">
        <v>6</v>
      </c>
      <c r="D117" s="23" t="s">
        <v>235</v>
      </c>
      <c r="E117" s="3" t="s">
        <v>250</v>
      </c>
    </row>
    <row r="118" spans="1:5">
      <c r="A118" s="3" t="s">
        <v>256</v>
      </c>
      <c r="B118" s="3">
        <v>243</v>
      </c>
      <c r="C118" s="3">
        <v>6</v>
      </c>
      <c r="D118" s="23" t="s">
        <v>235</v>
      </c>
      <c r="E118" s="3" t="s">
        <v>99</v>
      </c>
    </row>
    <row r="119" spans="1:5">
      <c r="A119" s="3" t="s">
        <v>257</v>
      </c>
      <c r="B119" s="3">
        <v>244</v>
      </c>
      <c r="C119" s="3">
        <v>5</v>
      </c>
      <c r="D119" s="23" t="s">
        <v>259</v>
      </c>
      <c r="E119" s="3" t="s">
        <v>100</v>
      </c>
    </row>
    <row r="120" spans="1:5">
      <c r="A120" s="3" t="s">
        <v>258</v>
      </c>
      <c r="B120" s="3">
        <v>245</v>
      </c>
      <c r="C120" s="3">
        <v>6</v>
      </c>
      <c r="D120" s="23" t="s">
        <v>235</v>
      </c>
      <c r="E120" s="3" t="s">
        <v>101</v>
      </c>
    </row>
    <row r="121" spans="1:5">
      <c r="A121" s="3" t="s">
        <v>252</v>
      </c>
      <c r="B121" s="3">
        <v>246</v>
      </c>
      <c r="C121" s="3">
        <v>8</v>
      </c>
      <c r="D121" s="23" t="s">
        <v>260</v>
      </c>
      <c r="E121" s="3" t="s">
        <v>102</v>
      </c>
    </row>
    <row r="122" spans="1:5">
      <c r="A122" s="3" t="s">
        <v>253</v>
      </c>
      <c r="B122" s="3">
        <v>247</v>
      </c>
      <c r="C122" s="3">
        <v>8</v>
      </c>
      <c r="D122" s="23" t="s">
        <v>260</v>
      </c>
      <c r="E122" s="3" t="s">
        <v>103</v>
      </c>
    </row>
    <row r="123" spans="1:5">
      <c r="A123" s="3" t="s">
        <v>254</v>
      </c>
      <c r="B123" s="3">
        <v>248</v>
      </c>
      <c r="C123" s="3">
        <v>8</v>
      </c>
      <c r="D123" s="23" t="s">
        <v>260</v>
      </c>
      <c r="E123" s="3" t="s">
        <v>104</v>
      </c>
    </row>
    <row r="124" spans="1:5">
      <c r="A124" s="3" t="s">
        <v>128</v>
      </c>
      <c r="B124" s="3">
        <v>250</v>
      </c>
      <c r="C124" s="3">
        <v>9</v>
      </c>
      <c r="D124" s="23" t="s">
        <v>261</v>
      </c>
      <c r="E124" s="3" t="s">
        <v>105</v>
      </c>
    </row>
    <row r="125" spans="1:5">
      <c r="A125" s="3" t="s">
        <v>129</v>
      </c>
      <c r="B125" s="3">
        <v>251</v>
      </c>
      <c r="C125" s="3">
        <v>9</v>
      </c>
      <c r="D125" s="23" t="s">
        <v>261</v>
      </c>
      <c r="E125" s="3" t="s">
        <v>106</v>
      </c>
    </row>
    <row r="126" spans="1:5">
      <c r="A126" s="4" t="s">
        <v>130</v>
      </c>
      <c r="B126" s="4">
        <v>252</v>
      </c>
      <c r="C126" s="4">
        <v>8</v>
      </c>
      <c r="D126" s="24" t="s">
        <v>262</v>
      </c>
      <c r="E126" s="4" t="s">
        <v>107</v>
      </c>
    </row>
  </sheetData>
  <sheetProtection formatCells="0" formatColumns="0" formatRows="0"/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AAEF-B2D9-49B8-8C56-755191B3759C}">
  <dimension ref="A1:D19"/>
  <sheetViews>
    <sheetView tabSelected="1" workbookViewId="0">
      <selection activeCell="B1" sqref="B1"/>
    </sheetView>
  </sheetViews>
  <sheetFormatPr defaultRowHeight="14.25"/>
  <cols>
    <col min="1" max="1" width="23.5703125" bestFit="1" customWidth="1"/>
  </cols>
  <sheetData>
    <row r="1" spans="1:4" ht="15.75" thickTop="1" thickBot="1">
      <c r="A1" s="38" t="s">
        <v>502</v>
      </c>
      <c r="B1" s="33" t="str">
        <f ca="1">_xlfn.TEXTJOIN("",TRUE,B4:B19)</f>
        <v xml:space="preserve">_x000D_
// SWRTコマンド0のデータ_x000D_
const struct swrt_address_tag	swrt_0[] = {_x000D_
	{(UC*)&amp;TWIcnv_swrt,									1*1},	//   0	000h	_x000D_
	{(UC*)&amp;TWOcnv_swrt,									1*1},	//   2	002h	_x000D_
	{(UC*)&amp;TC1cnv_swrt,									1*1},	//   4	004h	_x000D_
	{(UC*)&amp;TCJcnv_swrt,									1*1},	//   6	006h	_x000D_
	{(UC*)&amp;TC2cnv_swrt,									1*1},	//   8	008h	_x000D_
	{(UC*)&amp;PWSchg,										2*1},	//  10	00Ah	_x000D_
	{(UC*)&amp;PWEchg,										2*1},	//  14	00Eh	_x000D_
	{(UC*)&amp;PWLchg,										2*1},	//  18	012h	_x000D_
	{(UC*)&amp;DummyOut2,									2*1},	//  22	016h	Reserved for Sensor_x000D_
	{(UC*)&amp;DummyOut,									6*1},	//  26	01Ah	Reserved_x000D_
	{(UC*)&amp;DriveMode.uc,								1*1},	//  38	026h	DriveMode_x000D_
	{(UC*)&amp;E2DN_ModelSelect003,							1*1},	//  40	028h	_x000D_
	{(UC*)&amp;SWRT_UnitHP,									1*1},	//  42	02Ah	_x000D_
	{(UC*)&amp;HydroDriveFLG1_swrt,							1*1},	//  44	02Ch	_x000D_
	{(UC*)&amp;Hydro.CircHP_x10,							2*1},	//  46	02Eh	_x000D_
	{(UC*)&amp;Hydro_capa.Qn_x100,							2*1},	//  50	032h	_x000D_
	{(UC*)&amp;Hydro.MinTs_x10,								2*1},	//  54	036h	_x000D_
	{(UC*)&amp;Hydro.MaxTs_x10,								2*1},	//  58	03Ah	_x000D_
	{(UC*)&amp;Hydro.Tsw_x10,								2*1},	//  62	03Eh	_x000D_
	{(UC*)&amp;OduDriveFLG1_swrt,							1*1},	//  66	042h	_x000D_
	{(UC*)&amp;DummyOutArray,								1*67},	//  68	044h	_x000D_
	{(UC*)&amp;Hydro_capa.T1m_ini_Ro,						1*1},	// 202	0CAh	_x000D_
	{(UC*)&amp;Hydro_capa.Rn_x100,							2*1},	// 204	0CCh	_x000D_
	{(UC*)&amp;Hydro_capa.SWRT_MaxRn,						2*1},	// 208	0D0h	_x000D_
	{(UC*)&amp;Hydro_capa.SWRT_Delta_Rn_x100,				2*1},	// 212	0D4h	_x000D_
	{(UC*)&amp;Hydro_capa.SWRT_GA_x100,						2*1},	// 216	0D8h	_x000D_
	{(UC*)&amp;Hydro_capa.SWRT_Delta_Tc_x10,				2*1},	// 220	0DCh	_x000D_
	{(UC*)&amp;Hydro_capa.SWRT_Delta_E_x10,					2*1},	// 224	0E0h	_x000D_
	{(UC*)&amp;Hydro_capa.T10s_Hydro_Rn_adj,				1*1},	// 228	0E4h	_x000D_
	{(UC*)&amp;Hydro_capa.T1m_Keep_Ro,						1*1},	// 230	0E6h	_x000D_
	{(UC*)&amp;RxdSourceCode[1],							1*1},	// 232	0E8h	SUBMCU SourceNo_H_x000D_
	{(UC*)&amp;RxdSourceCode[0],							1*1},	// 234	0EAh	SUBMCU SourceNo_L_x000D_
	{(UC*)&amp;RxdVerNo[0],									2*1},	// 236	0ECh	SUBMCU Ver_x000D_
	{(UC*)&amp;SWRT_SourceID_H,								1*1},	// 240	0F0h	SourceNo_H_x000D_
	{(UC*)&amp;SWRT_SourceID_L,								1*1},	// 242	0F2h	SourceNo_L_x000D_
	{(UC*)&amp;NextMMSVerNo,								2*1},	// 244	0F4h	Ver.x.xxx_x000D_
	{0,0}_x000D_
};_x000D_
_x000D_
// SWRTコマンド1のデータ_x000D_
const struct swrt_address_tag	swrt_1[] = {_x000D_
	{(UC*)&amp;GA500_SwrtData1.fc10_tx.buff,				1*14},	//   0	100h	使:13(空: 1)_x000D_
	{(UC*)&amp;GA500_SwrtData1.fc10_rx.buff,				1*8},	//  28	11Ch	使: 8(空: 0)_x000D_
	{(UC*)&amp;GA500_SwrtData1.fc03_1_tx.buff,				1*8},	//  44	12Ch	使: 8(空: 0)_x000D_
	{(UC*)&amp;GA500_SwrtData1.fc03_1_rx.buff,				1*32},	//  60	13Ch	使:21(空:11)_x000D_
	{(UC*)&amp;GA500_SwrtData1.fc03_2_tx.buff,				1*8},	// 124	17Ch	使: 8(空: 0)_x000D_
	{(UC*)&amp;GA500_SwrtData1.fc03_2_rx.buff,				1*8},	// 140	18Ch	使: 7(空: 1)_x000D_
	{(UC*)&amp;GA500_SwrtData1.fc03_3_tx.buff,				1*8},	// 156	19Ch	使: 8(空: 0)_x000D_
	{(UC*)&amp;GA500_SwrtData1.fc03_3_rx.buff,				1*8},	// 172	1ACh	使: 7(空: 1)_x000D_
	{(UC*)&amp;GA500_SwrtData1.set_hz,						2*1},	// 188	1BCh	ポンプ1 指令Hz_x000D_
	{(UC*)&amp;GA500_SwrtData1.mon_hz,						2*1},	// 192	1C0h	ポンプ1 実Hz_x000D_
	{(UC*)&amp;GA500_SwrtData1.run,							2*1},	// 196	1C4h	ポンプ1 運転/停止_x000D_
	{(UC*)&amp;GA500_SwrtData2.set_hz,						2*1},	// 200	1C8h	ポンプ2 指令Hz_x000D_
	{(UC*)&amp;GA500_SwrtData2.mon_hz,						2*1},	// 204	1CCh	ポンプ2 実Hz_x000D_
	{(UC*)&amp;GA500_SwrtData2.run,							2*1},	// 208	1D0h	ポンプ2 運転/停止_x000D_
	{0,0}_x000D_
};_x000D_
_x000D_
// SWRTコマンド2のデータ_x000D_
const struct swrt_address_tag	swrt_2[] = {_x000D_
	{(UC*)&amp;SW101_102_swrt,								1*1},	//   0	200h	スイッチ6,7_x000D_
	{(UC*)&amp;SW103_104_swrt,								1*1},	//   2	202h	スイッチ9,10_x000D_
	{(UC*)&amp;SW105_106_swrt,								1*1},	//   4	204h	スイッチ11,8_x000D_
	{(UC*)&amp;EP_RefLeakFlagsC,							1*1},	//   6	206h	冷媒漏洩TATSTO条件_x000D_
	{(UC*)&amp;SW_CN_swrt,									1*1},	//   8	208h	スイッチ4,5,8,15,ＣＮ30-32_x000D_
	{(UC*)&amp;in_teikitm,									1*1},	//  10	20Ah	メインバス定期通信タイマ_x000D_
	{(UC*)&amp;out_teikitm,									1*1},	//  12	20Ch	サブバス定期通信タイマ_x000D_
	{(UC*)&amp;UhUnitAddress,								2*1},	//  14	20Eh	Uh側アドレス_x000D_
	{(UC*)&amp;SW1_2_swrt,									1*1},	//  18	212h	SW1_2_x000D_
	{(UC*)&amp;SW3_swrt,									1*1},	//  20	214h	SW3_x000D_
	{(UC*)&amp;DummyOut2,									2*1},	//  22	216h	ステップ補正値暖房_x000D_
	{(UC*)&amp;DummyOut2,									2*1},	//  26	21Ah	電流レリース値_x000D_
	{(UC*)&amp;DummyOut2,									2*1},	//  30	21Eh	ｆｍａｘ’（Ｈｚ/圧縮比）_x000D_
	{(UC*)&amp;DummyOut2,									2*1},	//  34	222h	ｆｍａｘ’_x000D_
	{(UC*)&amp;DummyOut2,									2*1},	//  38	226h	ｆｍｉｎ’_x000D_
	{(UC*)&amp;DummyOut2,									2*1},	//  42	22Ah	ｆｍａｘ’（電流レリース）_x000D_
	{(UC*)&amp;DummyOut2,									2*1},	//  46	22Eh	ｆｍａｘ’（ＴＨ過熱）_x000D_
	{(UC*)&amp;DummyOut2,									2*1},	//  50	232h	冷房室内補正後Ｆｃ（Ａ）_x000D_
	{(UC*)&amp;DummyOut2,									2*1},	//  54	236h	暖房室内補正後Ｆｈ（Ａ）_x000D_
	{(UC*)&amp;IduFaCool,									2*1},	//  58	23Ah	Wc(A)'_x000D_
	{(UC*)&amp;IduFaHeat,									2*1},	//  62	23Eh	Wh(A)'_x000D_
	{(UC*)&amp;DummyOut2,									2*1},	//  66	242h	ＦＡ（１）ベース_x000D_
	{(UC*)&amp;OutExistNo[0],								1*1},	//  70	246h	存在室外機アドレス[0]_x000D_
	{(UC*)&amp;OutExistNo[1],								1*1},	//  72	248h	存在室外機アドレス[1]_x000D_
	{(UC*)&amp;OutExistNo[2],								1*1},	//  74	24Ah	存在室外機アドレス[2]_x000D_
	{(UC*)&amp;OutExistNo[3],								1*1},	//  76	24Ch	存在室外機アドレス[3]_x000D_
	{(UC*)&amp;OutExistNo[4],								1*1},	//  78	24Eh	存在室外機アドレス[4]_x000D_
	{(UC*)&amp;Output_LED[0],								1*1},	//  80	250h	７ｓｅｇ表示１_x000D_
	{(UC*)&amp;Output_LED[1],								1*1},	//  82	252h	７ｓｅｇ表示２_x000D_
	{(UC*)&amp;Output_LED[2],								1*1},	//  84	254h	７ｓｅｇ表示３_x000D_
	{(UC*)&amp;Output_LED[3],								1*1},	//  86	256h	７ｓｅｇ表示４_x000D_
	{(UC*)&amp;Output_LED[4],								1*1},	//  88	258h	７ｓｅｇ表示５_x000D_
	{0,0}_x000D_
};_x000D_
_x000D_
// SWRTコマンド3のデータ_x000D_
const struct swrt_address_tag	swrt_3[] = {_x000D_
	{(UC*)&amp;PUMP_SwrtData.FL_target,						4*1},	//   0	300h	_x000D_
	{(UC*)&amp;PUMP_SwrtData.FL_current,					4*1},	//   8	308h	_x000D_
	{(UC*)&amp;PUMP_SwrtData.PerrL,							4*1},	//  16	310h	_x000D_
	{(UC*)&amp;PUMP_SwrtData.PerrE,							4*1},	//  24	318h	_x000D_
	{(UC*)&amp;PUMP_SwrtData.deltaP,						4*1},	//  32	320h	_x000D_
	{(UC*)&amp;PUMP_SwrtData.B_FLo,							4*1},	//  40	328h	_x000D_
	{(UC*)&amp;PUMP_SwrtData.B_Alpha1,						4*1},	//  48	330h	_x000D_
	{(UC*)&amp;PUMP_SwrtData.B_Alpha2,						4*1},	//  56	338h	_x000D_
	{(UC*)&amp;PUMP_SwrtData.B_FL_fix,						4*1},	//  64	340h	_x000D_
	{(UC*)&amp;PUMP_SwrtData.C_FLo,							4*1},	//  72	348h	_x000D_
	{(UC*)&amp;PUMP_SwrtData.C_Alpha1,						4*1},	//  80	350h	_x000D_
	{(UC*)&amp;PUMP_SwrtData.C_Alpha2,						4*1},	//  88	358h	_x000D_
	{(UC*)&amp;PUMP_SwrtData.C_FL_fix,						4*1},	//  96	360h	_x000D_
	{(UC*)&amp;PUMP_SwrtData.FL_sys_max,					4*1},	// 104	368h	_x000D_
	{(UC*)&amp;PUMP_SwrtData.FL_hyd_max,					4*1},	// 112	370h	_x000D_
	{(UC*)&amp;PUMP_SwrtData.FL_min,						4*1},	// 120	378h	_x000D_
	{(UC*)&amp;PUMP_SwrtData.fluid_type,					1*1},	// 128	380h	_x000D_
	{(UC*)&amp;PUMP_SwrtData.brine_type,					1*1},	// 130	382h	_x000D_
	{(UC*)&amp;PUMP_SwrtData.hex_hp_idx,					1*1},	// 132	384h	_x000D_
	{0,0}_x000D_
};_x000D_
</v>
      </c>
      <c r="C1" t="s">
        <v>505</v>
      </c>
      <c r="D1" t="s">
        <v>506</v>
      </c>
    </row>
    <row r="2" spans="1:4" ht="15" thickTop="1"/>
    <row r="3" spans="1:4" ht="28.5">
      <c r="A3" s="34" t="s">
        <v>503</v>
      </c>
      <c r="B3" s="35" t="s">
        <v>504</v>
      </c>
    </row>
    <row r="4" spans="1:4">
      <c r="A4" s="37" t="s">
        <v>486</v>
      </c>
      <c r="B4" s="36" t="str" cm="1">
        <f t="array" aca="1" ref="B4" ca="1">IFERROR(INDIRECT(A4&amp;"!O1"),"")</f>
        <v xml:space="preserve">_x000D_
// SWRTコマンド0のデータ_x000D_
const struct swrt_address_tag	swrt_0[] = {_x000D_
	{(UC*)&amp;TWIcnv_swrt,									1*1},	//   0	000h	_x000D_
	{(UC*)&amp;TWOcnv_swrt,									1*1},	//   2	002h	_x000D_
	{(UC*)&amp;TC1cnv_swrt,									1*1},	//   4	004h	_x000D_
	{(UC*)&amp;TCJcnv_swrt,									1*1},	//   6	006h	_x000D_
	{(UC*)&amp;TC2cnv_swrt,									1*1},	//   8	008h	_x000D_
	{(UC*)&amp;PWSchg,										2*1},	//  10	00Ah	_x000D_
	{(UC*)&amp;PWEchg,										2*1},	//  14	00Eh	_x000D_
	{(UC*)&amp;PWLchg,										2*1},	//  18	012h	_x000D_
	{(UC*)&amp;DummyOut2,									2*1},	//  22	016h	Reserved for Sensor_x000D_
	{(UC*)&amp;DummyOut,									6*1},	//  26	01Ah	Reserved_x000D_
	{(UC*)&amp;DriveMode.uc,								1*1},	//  38	026h	DriveMode_x000D_
	{(UC*)&amp;E2DN_ModelSelect003,							1*1},	//  40	028h	_x000D_
	{(UC*)&amp;SWRT_UnitHP,									1*1},	//  42	02Ah	_x000D_
	{(UC*)&amp;HydroDriveFLG1_swrt,							1*1},	//  44	02Ch	_x000D_
	{(UC*)&amp;Hydro.CircHP_x10,							2*1},	//  46	02Eh	_x000D_
	{(UC*)&amp;Hydro_capa.Qn_x100,							2*1},	//  50	032h	_x000D_
	{(UC*)&amp;Hydro.MinTs_x10,								2*1},	//  54	036h	_x000D_
	{(UC*)&amp;Hydro.MaxTs_x10,								2*1},	//  58	03Ah	_x000D_
	{(UC*)&amp;Hydro.Tsw_x10,								2*1},	//  62	03Eh	_x000D_
	{(UC*)&amp;OduDriveFLG1_swrt,							1*1},	//  66	042h	_x000D_
	{(UC*)&amp;DummyOutArray,								1*67},	//  68	044h	_x000D_
	{(UC*)&amp;Hydro_capa.T1m_ini_Ro,						1*1},	// 202	0CAh	_x000D_
	{(UC*)&amp;Hydro_capa.Rn_x100,							2*1},	// 204	0CCh	_x000D_
	{(UC*)&amp;Hydro_capa.SWRT_MaxRn,						2*1},	// 208	0D0h	_x000D_
	{(UC*)&amp;Hydro_capa.SWRT_Delta_Rn_x100,				2*1},	// 212	0D4h	_x000D_
	{(UC*)&amp;Hydro_capa.SWRT_GA_x100,						2*1},	// 216	0D8h	_x000D_
	{(UC*)&amp;Hydro_capa.SWRT_Delta_Tc_x10,				2*1},	// 220	0DCh	_x000D_
	{(UC*)&amp;Hydro_capa.SWRT_Delta_E_x10,					2*1},	// 224	0E0h	_x000D_
	{(UC*)&amp;Hydro_capa.T10s_Hydro_Rn_adj,				1*1},	// 228	0E4h	_x000D_
	{(UC*)&amp;Hydro_capa.T1m_Keep_Ro,						1*1},	// 230	0E6h	_x000D_
	{(UC*)&amp;RxdSourceCode[1],							1*1},	// 232	0E8h	SUBMCU SourceNo_H_x000D_
	{(UC*)&amp;RxdSourceCode[0],							1*1},	// 234	0EAh	SUBMCU SourceNo_L_x000D_
	{(UC*)&amp;RxdVerNo[0],									2*1},	// 236	0ECh	SUBMCU Ver_x000D_
	{(UC*)&amp;SWRT_SourceID_H,								1*1},	// 240	0F0h	SourceNo_H_x000D_
	{(UC*)&amp;SWRT_SourceID_L,								1*1},	// 242	0F2h	SourceNo_L_x000D_
	{(UC*)&amp;NextMMSVerNo,								2*1},	// 244	0F4h	Ver.x.xxx_x000D_
	{0,0}_x000D_
};_x000D_
</v>
      </c>
      <c r="C4" t="s">
        <v>505</v>
      </c>
    </row>
    <row r="5" spans="1:4">
      <c r="A5" s="37" t="s">
        <v>487</v>
      </c>
      <c r="B5" s="36" t="str" cm="1">
        <f t="array" aca="1" ref="B5" ca="1">IFERROR(INDIRECT(A5&amp;"!O1"),"")</f>
        <v xml:space="preserve">_x000D_
// SWRTコマンド1のデータ_x000D_
const struct swrt_address_tag	swrt_1[] = {_x000D_
	{(UC*)&amp;GA500_SwrtData1.fc10_tx.buff,				1*14},	//   0	100h	使:13(空: 1)_x000D_
	{(UC*)&amp;GA500_SwrtData1.fc10_rx.buff,				1*8},	//  28	11Ch	使: 8(空: 0)_x000D_
	{(UC*)&amp;GA500_SwrtData1.fc03_1_tx.buff,				1*8},	//  44	12Ch	使: 8(空: 0)_x000D_
	{(UC*)&amp;GA500_SwrtData1.fc03_1_rx.buff,				1*32},	//  60	13Ch	使:21(空:11)_x000D_
	{(UC*)&amp;GA500_SwrtData1.fc03_2_tx.buff,				1*8},	// 124	17Ch	使: 8(空: 0)_x000D_
	{(UC*)&amp;GA500_SwrtData1.fc03_2_rx.buff,				1*8},	// 140	18Ch	使: 7(空: 1)_x000D_
	{(UC*)&amp;GA500_SwrtData1.fc03_3_tx.buff,				1*8},	// 156	19Ch	使: 8(空: 0)_x000D_
	{(UC*)&amp;GA500_SwrtData1.fc03_3_rx.buff,				1*8},	// 172	1ACh	使: 7(空: 1)_x000D_
	{(UC*)&amp;GA500_SwrtData1.set_hz,						2*1},	// 188	1BCh	ポンプ1 指令Hz_x000D_
	{(UC*)&amp;GA500_SwrtData1.mon_hz,						2*1},	// 192	1C0h	ポンプ1 実Hz_x000D_
	{(UC*)&amp;GA500_SwrtData1.run,							2*1},	// 196	1C4h	ポンプ1 運転/停止_x000D_
	{(UC*)&amp;GA500_SwrtData2.set_hz,						2*1},	// 200	1C8h	ポンプ2 指令Hz_x000D_
	{(UC*)&amp;GA500_SwrtData2.mon_hz,						2*1},	// 204	1CCh	ポンプ2 実Hz_x000D_
	{(UC*)&amp;GA500_SwrtData2.run,							2*1},	// 208	1D0h	ポンプ2 運転/停止_x000D_
	{0,0}_x000D_
};_x000D_
</v>
      </c>
      <c r="C5" t="s">
        <v>505</v>
      </c>
    </row>
    <row r="6" spans="1:4">
      <c r="A6" s="37" t="s">
        <v>488</v>
      </c>
      <c r="B6" s="36" t="str" cm="1">
        <f t="array" aca="1" ref="B6" ca="1">IFERROR(INDIRECT(A6&amp;"!O1"),"")</f>
        <v xml:space="preserve">_x000D_
// SWRTコマンド2のデータ_x000D_
const struct swrt_address_tag	swrt_2[] = {_x000D_
	{(UC*)&amp;SW101_102_swrt,								1*1},	//   0	200h	スイッチ6,7_x000D_
	{(UC*)&amp;SW103_104_swrt,								1*1},	//   2	202h	スイッチ9,10_x000D_
	{(UC*)&amp;SW105_106_swrt,								1*1},	//   4	204h	スイッチ11,8_x000D_
	{(UC*)&amp;EP_RefLeakFlagsC,							1*1},	//   6	206h	冷媒漏洩TATSTO条件_x000D_
	{(UC*)&amp;SW_CN_swrt,									1*1},	//   8	208h	スイッチ4,5,8,15,ＣＮ30-32_x000D_
	{(UC*)&amp;in_teikitm,									1*1},	//  10	20Ah	メインバス定期通信タイマ_x000D_
	{(UC*)&amp;out_teikitm,									1*1},	//  12	20Ch	サブバス定期通信タイマ_x000D_
	{(UC*)&amp;UhUnitAddress,								2*1},	//  14	20Eh	Uh側アドレス_x000D_
	{(UC*)&amp;SW1_2_swrt,									1*1},	//  18	212h	SW1_2_x000D_
	{(UC*)&amp;SW3_swrt,									1*1},	//  20	214h	SW3_x000D_
	{(UC*)&amp;DummyOut2,									2*1},	//  22	216h	ステップ補正値暖房_x000D_
	{(UC*)&amp;DummyOut2,									2*1},	//  26	21Ah	電流レリース値_x000D_
	{(UC*)&amp;DummyOut2,									2*1},	//  30	21Eh	ｆｍａｘ’（Ｈｚ/圧縮比）_x000D_
	{(UC*)&amp;DummyOut2,									2*1},	//  34	222h	ｆｍａｘ’_x000D_
	{(UC*)&amp;DummyOut2,									2*1},	//  38	226h	ｆｍｉｎ’_x000D_
	{(UC*)&amp;DummyOut2,									2*1},	//  42	22Ah	ｆｍａｘ’（電流レリース）_x000D_
	{(UC*)&amp;DummyOut2,									2*1},	//  46	22Eh	ｆｍａｘ’（ＴＨ過熱）_x000D_
	{(UC*)&amp;DummyOut2,									2*1},	//  50	232h	冷房室内補正後Ｆｃ（Ａ）_x000D_
	{(UC*)&amp;DummyOut2,									2*1},	//  54	236h	暖房室内補正後Ｆｈ（Ａ）_x000D_
	{(UC*)&amp;IduFaCool,									2*1},	//  58	23Ah	Wc(A)'_x000D_
	{(UC*)&amp;IduFaHeat,									2*1},	//  62	23Eh	Wh(A)'_x000D_
	{(UC*)&amp;DummyOut2,									2*1},	//  66	242h	ＦＡ（１）ベース_x000D_
	{(UC*)&amp;OutExistNo[0],								1*1},	//  70	246h	存在室外機アドレス[0]_x000D_
	{(UC*)&amp;OutExistNo[1],								1*1},	//  72	248h	存在室外機アドレス[1]_x000D_
	{(UC*)&amp;OutExistNo[2],								1*1},	//  74	24Ah	存在室外機アドレス[2]_x000D_
	{(UC*)&amp;OutExistNo[3],								1*1},	//  76	24Ch	存在室外機アドレス[3]_x000D_
	{(UC*)&amp;OutExistNo[4],								1*1},	//  78	24Eh	存在室外機アドレス[4]_x000D_
	{(UC*)&amp;Output_LED[0],								1*1},	//  80	250h	７ｓｅｇ表示１_x000D_
	{(UC*)&amp;Output_LED[1],								1*1},	//  82	252h	７ｓｅｇ表示２_x000D_
	{(UC*)&amp;Output_LED[2],								1*1},	//  84	254h	７ｓｅｇ表示３_x000D_
	{(UC*)&amp;Output_LED[3],								1*1},	//  86	256h	７ｓｅｇ表示４_x000D_
	{(UC*)&amp;Output_LED[4],								1*1},	//  88	258h	７ｓｅｇ表示５_x000D_
	{0,0}_x000D_
};_x000D_
</v>
      </c>
      <c r="C6" t="s">
        <v>505</v>
      </c>
    </row>
    <row r="7" spans="1:4">
      <c r="A7" s="37" t="s">
        <v>489</v>
      </c>
      <c r="B7" s="36" t="str" cm="1">
        <f t="array" aca="1" ref="B7" ca="1">IFERROR(INDIRECT(A7&amp;"!O1"),"")</f>
        <v xml:space="preserve">_x000D_
// SWRTコマンド3のデータ_x000D_
const struct swrt_address_tag	swrt_3[] = {_x000D_
	{(UC*)&amp;PUMP_SwrtData.FL_target,						4*1},	//   0	300h	_x000D_
	{(UC*)&amp;PUMP_SwrtData.FL_current,					4*1},	//   8	308h	_x000D_
	{(UC*)&amp;PUMP_SwrtData.PerrL,							4*1},	//  16	310h	_x000D_
	{(UC*)&amp;PUMP_SwrtData.PerrE,							4*1},	//  24	318h	_x000D_
	{(UC*)&amp;PUMP_SwrtData.deltaP,						4*1},	//  32	320h	_x000D_
	{(UC*)&amp;PUMP_SwrtData.B_FLo,							4*1},	//  40	328h	_x000D_
	{(UC*)&amp;PUMP_SwrtData.B_Alpha1,						4*1},	//  48	330h	_x000D_
	{(UC*)&amp;PUMP_SwrtData.B_Alpha2,						4*1},	//  56	338h	_x000D_
	{(UC*)&amp;PUMP_SwrtData.B_FL_fix,						4*1},	//  64	340h	_x000D_
	{(UC*)&amp;PUMP_SwrtData.C_FLo,							4*1},	//  72	348h	_x000D_
	{(UC*)&amp;PUMP_SwrtData.C_Alpha1,						4*1},	//  80	350h	_x000D_
	{(UC*)&amp;PUMP_SwrtData.C_Alpha2,						4*1},	//  88	358h	_x000D_
	{(UC*)&amp;PUMP_SwrtData.C_FL_fix,						4*1},	//  96	360h	_x000D_
	{(UC*)&amp;PUMP_SwrtData.FL_sys_max,					4*1},	// 104	368h	_x000D_
	{(UC*)&amp;PUMP_SwrtData.FL_hyd_max,					4*1},	// 112	370h	_x000D_
	{(UC*)&amp;PUMP_SwrtData.FL_min,						4*1},	// 120	378h	_x000D_
	{(UC*)&amp;PUMP_SwrtData.fluid_type,					1*1},	// 128	380h	_x000D_
	{(UC*)&amp;PUMP_SwrtData.brine_type,					1*1},	// 130	382h	_x000D_
	{(UC*)&amp;PUMP_SwrtData.hex_hp_idx,					1*1},	// 132	384h	_x000D_
	{0,0}_x000D_
};_x000D_
</v>
      </c>
      <c r="C7" t="s">
        <v>505</v>
      </c>
    </row>
    <row r="8" spans="1:4">
      <c r="A8" s="37" t="s">
        <v>490</v>
      </c>
      <c r="B8" s="36" t="str" cm="1">
        <f t="array" aca="1" ref="B8" ca="1">IFERROR(INDIRECT(A8&amp;"!O1"),"")</f>
        <v/>
      </c>
      <c r="C8" t="s">
        <v>505</v>
      </c>
    </row>
    <row r="9" spans="1:4">
      <c r="A9" s="37" t="s">
        <v>491</v>
      </c>
      <c r="B9" s="36" t="str" cm="1">
        <f t="array" aca="1" ref="B9" ca="1">IFERROR(INDIRECT(A9&amp;"!O1"),"")</f>
        <v/>
      </c>
      <c r="C9" t="s">
        <v>505</v>
      </c>
    </row>
    <row r="10" spans="1:4">
      <c r="A10" s="37" t="s">
        <v>492</v>
      </c>
      <c r="B10" s="36" t="str" cm="1">
        <f t="array" aca="1" ref="B10" ca="1">IFERROR(INDIRECT(A10&amp;"!O1"),"")</f>
        <v/>
      </c>
      <c r="C10" t="s">
        <v>505</v>
      </c>
    </row>
    <row r="11" spans="1:4">
      <c r="A11" s="37" t="s">
        <v>493</v>
      </c>
      <c r="B11" s="36" t="str" cm="1">
        <f t="array" aca="1" ref="B11" ca="1">IFERROR(INDIRECT(A11&amp;"!O1"),"")</f>
        <v/>
      </c>
      <c r="C11" t="s">
        <v>505</v>
      </c>
    </row>
    <row r="12" spans="1:4">
      <c r="A12" s="37" t="s">
        <v>494</v>
      </c>
      <c r="B12" s="36" t="str" cm="1">
        <f t="array" aca="1" ref="B12" ca="1">IFERROR(INDIRECT(A12&amp;"!O1"),"")</f>
        <v/>
      </c>
      <c r="C12" t="s">
        <v>505</v>
      </c>
    </row>
    <row r="13" spans="1:4">
      <c r="A13" s="37" t="s">
        <v>495</v>
      </c>
      <c r="B13" s="36" t="str" cm="1">
        <f t="array" aca="1" ref="B13" ca="1">IFERROR(INDIRECT(A13&amp;"!O1"),"")</f>
        <v/>
      </c>
      <c r="C13" t="s">
        <v>505</v>
      </c>
    </row>
    <row r="14" spans="1:4">
      <c r="A14" s="37" t="s">
        <v>496</v>
      </c>
      <c r="B14" s="36" t="str" cm="1">
        <f t="array" aca="1" ref="B14" ca="1">IFERROR(INDIRECT(A14&amp;"!O1"),"")</f>
        <v/>
      </c>
      <c r="C14" t="s">
        <v>505</v>
      </c>
    </row>
    <row r="15" spans="1:4">
      <c r="A15" s="37" t="s">
        <v>497</v>
      </c>
      <c r="B15" s="36" t="str" cm="1">
        <f t="array" aca="1" ref="B15" ca="1">IFERROR(INDIRECT(A15&amp;"!O1"),"")</f>
        <v/>
      </c>
      <c r="C15" t="s">
        <v>505</v>
      </c>
    </row>
    <row r="16" spans="1:4">
      <c r="A16" s="37" t="s">
        <v>498</v>
      </c>
      <c r="B16" s="36" t="str" cm="1">
        <f t="array" aca="1" ref="B16" ca="1">IFERROR(INDIRECT(A16&amp;"!O1"),"")</f>
        <v/>
      </c>
      <c r="C16" t="s">
        <v>505</v>
      </c>
    </row>
    <row r="17" spans="1:3">
      <c r="A17" s="37" t="s">
        <v>499</v>
      </c>
      <c r="B17" s="36" t="str" cm="1">
        <f t="array" aca="1" ref="B17" ca="1">IFERROR(INDIRECT(A17&amp;"!O1"),"")</f>
        <v/>
      </c>
      <c r="C17" t="s">
        <v>505</v>
      </c>
    </row>
    <row r="18" spans="1:3">
      <c r="A18" s="37" t="s">
        <v>500</v>
      </c>
      <c r="B18" s="36" t="str" cm="1">
        <f t="array" aca="1" ref="B18" ca="1">IFERROR(INDIRECT(A18&amp;"!O1"),"")</f>
        <v/>
      </c>
      <c r="C18" t="s">
        <v>505</v>
      </c>
    </row>
    <row r="19" spans="1:3">
      <c r="A19" s="37" t="s">
        <v>501</v>
      </c>
      <c r="B19" s="36" t="str" cm="1">
        <f t="array" aca="1" ref="B19" ca="1">IFERROR(INDIRECT(A19&amp;"!O1"),"")</f>
        <v/>
      </c>
      <c r="C19" t="s">
        <v>505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107B-846D-4E43-B1D6-95E9F2C7E567}">
  <dimension ref="A1:P127"/>
  <sheetViews>
    <sheetView workbookViewId="0">
      <pane ySplit="1" topLeftCell="A2" activePane="bottomLeft" state="frozen"/>
      <selection activeCell="A2" sqref="A2"/>
      <selection pane="bottomLeft" activeCell="O1" sqref="O1"/>
    </sheetView>
  </sheetViews>
  <sheetFormatPr defaultRowHeight="14.25"/>
  <cols>
    <col min="1" max="1" width="24.7109375" bestFit="1" customWidth="1"/>
    <col min="2" max="2" width="30.42578125" bestFit="1" customWidth="1"/>
    <col min="3" max="3" width="5.42578125" bestFit="1" customWidth="1"/>
    <col min="4" max="4" width="7" bestFit="1" customWidth="1"/>
    <col min="5" max="6" width="7.140625" style="1" customWidth="1"/>
    <col min="7" max="7" width="12" customWidth="1"/>
    <col min="8" max="8" width="42.28515625" customWidth="1"/>
    <col min="9" max="9" width="5.42578125" bestFit="1" customWidth="1"/>
    <col min="10" max="10" width="5.7109375" bestFit="1" customWidth="1"/>
    <col min="11" max="11" width="4.5703125" bestFit="1" customWidth="1"/>
    <col min="12" max="12" width="7.5703125" bestFit="1" customWidth="1"/>
    <col min="13" max="14" width="9.140625" style="1"/>
  </cols>
  <sheetData>
    <row r="1" spans="1:16">
      <c r="A1" s="5" t="s">
        <v>2</v>
      </c>
      <c r="B1" s="6" t="s">
        <v>3</v>
      </c>
      <c r="C1" s="6" t="s">
        <v>0</v>
      </c>
      <c r="D1" s="6" t="s">
        <v>1</v>
      </c>
      <c r="E1" s="7" t="s">
        <v>4</v>
      </c>
      <c r="F1" s="7" t="s">
        <v>5</v>
      </c>
      <c r="G1" s="6" t="s">
        <v>6</v>
      </c>
      <c r="H1" s="6" t="s">
        <v>8</v>
      </c>
      <c r="I1" s="6" t="s">
        <v>7</v>
      </c>
      <c r="J1" s="6" t="s">
        <v>316</v>
      </c>
      <c r="K1" s="6" t="s">
        <v>315</v>
      </c>
      <c r="L1" s="6" t="s">
        <v>314</v>
      </c>
      <c r="M1" s="7" t="s">
        <v>317</v>
      </c>
      <c r="N1" s="7" t="s">
        <v>318</v>
      </c>
      <c r="O1" s="2" t="str" cm="1">
        <f t="array" aca="1" ref="O1" ca="1">テーブル定義コード_全体</f>
        <v xml:space="preserve">_x000D_
// SWRTコマンド0のデータ_x000D_
const struct swrt_address_tag	swrt_0[] = {_x000D_
	{(UC*)&amp;TWIcnv_swrt,									1*1},	//   0	000h	_x000D_
	{(UC*)&amp;TWOcnv_swrt,									1*1},	//   2	002h	_x000D_
	{(UC*)&amp;TC1cnv_swrt,									1*1},	//   4	004h	_x000D_
	{(UC*)&amp;TCJcnv_swrt,									1*1},	//   6	006h	_x000D_
	{(UC*)&amp;TC2cnv_swrt,									1*1},	//   8	008h	_x000D_
	{(UC*)&amp;PWSchg,										2*1},	//  10	00Ah	_x000D_
	{(UC*)&amp;PWEchg,										2*1},	//  14	00Eh	_x000D_
	{(UC*)&amp;PWLchg,										2*1},	//  18	012h	_x000D_
	{(UC*)&amp;DummyOut2,									2*1},	//  22	016h	Reserved for Sensor_x000D_
	{(UC*)&amp;DummyOut,									6*1},	//  26	01Ah	Reserved_x000D_
	{(UC*)&amp;DriveMode.uc,								1*1},	//  38	026h	DriveMode_x000D_
	{(UC*)&amp;E2DN_ModelSelect003,							1*1},	//  40	028h	_x000D_
	{(UC*)&amp;SWRT_UnitHP,									1*1},	//  42	02Ah	_x000D_
	{(UC*)&amp;HydroDriveFLG1_swrt,							1*1},	//  44	02Ch	_x000D_
	{(UC*)&amp;Hydro.CircHP_x10,							2*1},	//  46	02Eh	_x000D_
	{(UC*)&amp;Hydro_capa.Qn_x100,							2*1},	//  50	032h	_x000D_
	{(UC*)&amp;Hydro.MinTs_x10,								2*1},	//  54	036h	_x000D_
	{(UC*)&amp;Hydro.MaxTs_x10,								2*1},	//  58	03Ah	_x000D_
	{(UC*)&amp;Hydro.Tsw_x10,								2*1},	//  62	03Eh	_x000D_
	{(UC*)&amp;OduDriveFLG1_swrt,							1*1},	//  66	042h	_x000D_
	{(UC*)&amp;DummyOutArray,								1*67},	//  68	044h	_x000D_
	{(UC*)&amp;Hydro_capa.T1m_ini_Ro,						1*1},	// 202	0CAh	_x000D_
	{(UC*)&amp;Hydro_capa.Rn_x100,							2*1},	// 204	0CCh	_x000D_
	{(UC*)&amp;Hydro_capa.SWRT_MaxRn,						2*1},	// 208	0D0h	_x000D_
	{(UC*)&amp;Hydro_capa.SWRT_Delta_Rn_x100,				2*1},	// 212	0D4h	_x000D_
	{(UC*)&amp;Hydro_capa.SWRT_GA_x100,						2*1},	// 216	0D8h	_x000D_
	{(UC*)&amp;Hydro_capa.SWRT_Delta_Tc_x10,				2*1},	// 220	0DCh	_x000D_
	{(UC*)&amp;Hydro_capa.SWRT_Delta_E_x10,					2*1},	// 224	0E0h	_x000D_
	{(UC*)&amp;Hydro_capa.T10s_Hydro_Rn_adj,				1*1},	// 228	0E4h	_x000D_
	{(UC*)&amp;Hydro_capa.T1m_Keep_Ro,						1*1},	// 230	0E6h	_x000D_
	{(UC*)&amp;RxdSourceCode[1],							1*1},	// 232	0E8h	SUBMCU SourceNo_H_x000D_
	{(UC*)&amp;RxdSourceCode[0],							1*1},	// 234	0EAh	SUBMCU SourceNo_L_x000D_
	{(UC*)&amp;RxdVerNo[0],									2*1},	// 236	0ECh	SUBMCU Ver_x000D_
	{(UC*)&amp;SWRT_SourceID_H,								1*1},	// 240	0F0h	SourceNo_H_x000D_
	{(UC*)&amp;SWRT_SourceID_L,								1*1},	// 242	0F2h	SourceNo_L_x000D_
	{(UC*)&amp;NextMMSVerNo,								2*1},	// 244	0F4h	Ver.x.xxx_x000D_
	{0,0}_x000D_
};_x000D_
</v>
      </c>
      <c r="P1" t="str" cm="1">
        <f t="array" aca="1" ref="P1" ca="1">テーブル定義コード_先頭行</f>
        <v>_x000D_
// SWRTコマンド0のデータ_x000D_
const struct swrt_address_tag	swrt_0[] = {</v>
      </c>
    </row>
    <row r="2" spans="1:16">
      <c r="A2" s="17"/>
      <c r="B2" s="17" t="s">
        <v>9</v>
      </c>
      <c r="C2" s="17">
        <v>1</v>
      </c>
      <c r="D2" s="17">
        <v>1</v>
      </c>
      <c r="E2" s="18"/>
      <c r="F2" s="18"/>
      <c r="G2" s="17"/>
      <c r="H2" s="17"/>
      <c r="I2" s="8" t="e" cm="1">
        <f t="array" aca="1" ref="I2" ca="1">IF(isEmptyRow,"",F_code)</f>
        <v>#N/A</v>
      </c>
      <c r="J2" s="8" cm="1">
        <f t="array" aca="1" ref="J2" ca="1">IF(isEmptyRow,"",INDIRECT("C"&amp;ROW())*INDIRECT("D"&amp;ROW()))</f>
        <v>1</v>
      </c>
      <c r="K2" s="8" cm="1">
        <f t="array" aca="1" ref="K2" ca="1">IF(isEmptyRow,"",J2*2)</f>
        <v>2</v>
      </c>
      <c r="L2" s="8" cm="1">
        <f t="array" aca="1" ref="L2" ca="1">IF(isEmptyRow,"",F_offset)</f>
        <v>0</v>
      </c>
      <c r="M2" s="9" t="str" cm="1">
        <f t="array" aca="1" ref="M2" ca="1">IF(isEmptyRow,"",F_address)</f>
        <v>000</v>
      </c>
      <c r="N2" s="14" cm="1">
        <f t="array" aca="1" ref="N2" ca="1">F_残</f>
        <v>246</v>
      </c>
      <c r="P2" t="str" cm="1">
        <f t="array" aca="1" ref="P2" ca="1">IF(isDataRow,テーブル定義コード_データ行,IF(isTermRow,テーブル定義コード_番兵行,IF(isCloseRow,テーブル定義コード_最終行,"")))</f>
        <v xml:space="preserve">	{(UC*)&amp;TWIcnv_swrt,									1*1},	//   0	000h	</v>
      </c>
    </row>
    <row r="3" spans="1:16">
      <c r="A3" s="19"/>
      <c r="B3" s="19" t="s">
        <v>10</v>
      </c>
      <c r="C3" s="19">
        <v>1</v>
      </c>
      <c r="D3" s="19">
        <v>1</v>
      </c>
      <c r="E3" s="20"/>
      <c r="F3" s="20"/>
      <c r="G3" s="19"/>
      <c r="H3" s="19"/>
      <c r="I3" s="10" t="e" cm="1">
        <f t="array" aca="1" ref="I3" ca="1">IF(isEmptyRow,"",F_code)</f>
        <v>#N/A</v>
      </c>
      <c r="J3" s="10" cm="1">
        <f t="array" aca="1" ref="J3" ca="1">IF(isEmptyRow,"",INDIRECT("C"&amp;ROW())*INDIRECT("D"&amp;ROW()))</f>
        <v>1</v>
      </c>
      <c r="K3" s="10" cm="1">
        <f t="array" aca="1" ref="K3" ca="1">IF(isEmptyRow,"",J3*2)</f>
        <v>2</v>
      </c>
      <c r="L3" s="10" cm="1">
        <f t="array" aca="1" ref="L3" ca="1">IF(isEmptyRow,"",F_offset)</f>
        <v>2</v>
      </c>
      <c r="M3" s="11" t="str" cm="1">
        <f t="array" aca="1" ref="M3" ca="1">IF(isEmptyRow,"",F_address)</f>
        <v>002</v>
      </c>
      <c r="N3" s="15" cm="1">
        <f t="array" aca="1" ref="N3" ca="1">F_残</f>
        <v>244</v>
      </c>
      <c r="P3" t="str" cm="1">
        <f t="array" aca="1" ref="P3" ca="1">IF(isDataRow,テーブル定義コード_データ行,IF(isTermRow,テーブル定義コード_番兵行,IF(isCloseRow,テーブル定義コード_最終行,"")))</f>
        <v xml:space="preserve">	{(UC*)&amp;TWOcnv_swrt,									1*1},	//   2	002h	</v>
      </c>
    </row>
    <row r="4" spans="1:16">
      <c r="A4" s="19"/>
      <c r="B4" s="19" t="s">
        <v>11</v>
      </c>
      <c r="C4" s="19">
        <v>1</v>
      </c>
      <c r="D4" s="19">
        <v>1</v>
      </c>
      <c r="E4" s="20"/>
      <c r="F4" s="20"/>
      <c r="G4" s="19"/>
      <c r="H4" s="19"/>
      <c r="I4" s="10" t="e" cm="1">
        <f t="array" aca="1" ref="I4" ca="1">IF(isEmptyRow,"",F_code)</f>
        <v>#N/A</v>
      </c>
      <c r="J4" s="10" cm="1">
        <f t="array" aca="1" ref="J4" ca="1">IF(isEmptyRow,"",INDIRECT("C"&amp;ROW())*INDIRECT("D"&amp;ROW()))</f>
        <v>1</v>
      </c>
      <c r="K4" s="10" cm="1">
        <f t="array" aca="1" ref="K4" ca="1">IF(isEmptyRow,"",J4*2)</f>
        <v>2</v>
      </c>
      <c r="L4" s="10" cm="1">
        <f t="array" aca="1" ref="L4" ca="1">IF(isEmptyRow,"",F_offset)</f>
        <v>4</v>
      </c>
      <c r="M4" s="11" t="str" cm="1">
        <f t="array" aca="1" ref="M4" ca="1">IF(isEmptyRow,"",F_address)</f>
        <v>004</v>
      </c>
      <c r="N4" s="15" cm="1">
        <f t="array" aca="1" ref="N4" ca="1">F_残</f>
        <v>242</v>
      </c>
      <c r="P4" t="str" cm="1">
        <f t="array" aca="1" ref="P4" ca="1">IF(isDataRow,テーブル定義コード_データ行,IF(isTermRow,テーブル定義コード_番兵行,IF(isCloseRow,テーブル定義コード_最終行,"")))</f>
        <v xml:space="preserve">	{(UC*)&amp;TC1cnv_swrt,									1*1},	//   4	004h	</v>
      </c>
    </row>
    <row r="5" spans="1:16">
      <c r="A5" s="19"/>
      <c r="B5" s="19" t="s">
        <v>12</v>
      </c>
      <c r="C5" s="19">
        <v>1</v>
      </c>
      <c r="D5" s="19">
        <v>1</v>
      </c>
      <c r="E5" s="20"/>
      <c r="F5" s="20"/>
      <c r="G5" s="19"/>
      <c r="H5" s="19"/>
      <c r="I5" s="10" t="e" cm="1">
        <f t="array" aca="1" ref="I5" ca="1">IF(isEmptyRow,"",F_code)</f>
        <v>#N/A</v>
      </c>
      <c r="J5" s="10" cm="1">
        <f t="array" aca="1" ref="J5" ca="1">IF(isEmptyRow,"",INDIRECT("C"&amp;ROW())*INDIRECT("D"&amp;ROW()))</f>
        <v>1</v>
      </c>
      <c r="K5" s="10" cm="1">
        <f t="array" aca="1" ref="K5" ca="1">IF(isEmptyRow,"",J5*2)</f>
        <v>2</v>
      </c>
      <c r="L5" s="10" cm="1">
        <f t="array" aca="1" ref="L5" ca="1">IF(isEmptyRow,"",F_offset)</f>
        <v>6</v>
      </c>
      <c r="M5" s="11" t="str" cm="1">
        <f t="array" aca="1" ref="M5" ca="1">IF(isEmptyRow,"",F_address)</f>
        <v>006</v>
      </c>
      <c r="N5" s="15" cm="1">
        <f t="array" aca="1" ref="N5" ca="1">F_残</f>
        <v>240</v>
      </c>
      <c r="P5" t="str" cm="1">
        <f t="array" aca="1" ref="P5" ca="1">IF(isDataRow,テーブル定義コード_データ行,IF(isTermRow,テーブル定義コード_番兵行,IF(isCloseRow,テーブル定義コード_最終行,"")))</f>
        <v xml:space="preserve">	{(UC*)&amp;TCJcnv_swrt,									1*1},	//   6	006h	</v>
      </c>
    </row>
    <row r="6" spans="1:16">
      <c r="A6" s="19"/>
      <c r="B6" s="19" t="s">
        <v>13</v>
      </c>
      <c r="C6" s="19">
        <v>1</v>
      </c>
      <c r="D6" s="19">
        <v>1</v>
      </c>
      <c r="E6" s="20"/>
      <c r="F6" s="20"/>
      <c r="G6" s="19"/>
      <c r="H6" s="19"/>
      <c r="I6" s="10" t="e" cm="1">
        <f t="array" aca="1" ref="I6" ca="1">IF(isEmptyRow,"",F_code)</f>
        <v>#N/A</v>
      </c>
      <c r="J6" s="10" cm="1">
        <f t="array" aca="1" ref="J6" ca="1">IF(isEmptyRow,"",INDIRECT("C"&amp;ROW())*INDIRECT("D"&amp;ROW()))</f>
        <v>1</v>
      </c>
      <c r="K6" s="10" cm="1">
        <f t="array" aca="1" ref="K6" ca="1">IF(isEmptyRow,"",J6*2)</f>
        <v>2</v>
      </c>
      <c r="L6" s="10" cm="1">
        <f t="array" aca="1" ref="L6" ca="1">IF(isEmptyRow,"",F_offset)</f>
        <v>8</v>
      </c>
      <c r="M6" s="11" t="str" cm="1">
        <f t="array" aca="1" ref="M6" ca="1">IF(isEmptyRow,"",F_address)</f>
        <v>008</v>
      </c>
      <c r="N6" s="15" cm="1">
        <f t="array" aca="1" ref="N6" ca="1">F_残</f>
        <v>238</v>
      </c>
      <c r="P6" t="str" cm="1">
        <f t="array" aca="1" ref="P6" ca="1">IF(isDataRow,テーブル定義コード_データ行,IF(isTermRow,テーブル定義コード_番兵行,IF(isCloseRow,テーブル定義コード_最終行,"")))</f>
        <v xml:space="preserve">	{(UC*)&amp;TC2cnv_swrt,									1*1},	//   8	008h	</v>
      </c>
    </row>
    <row r="7" spans="1:16">
      <c r="A7" s="19"/>
      <c r="B7" s="19" t="s">
        <v>14</v>
      </c>
      <c r="C7" s="19">
        <v>2</v>
      </c>
      <c r="D7" s="19">
        <v>1</v>
      </c>
      <c r="E7" s="20"/>
      <c r="F7" s="20"/>
      <c r="G7" s="19"/>
      <c r="H7" s="19"/>
      <c r="I7" s="10" t="e" cm="1">
        <f t="array" aca="1" ref="I7" ca="1">IF(isEmptyRow,"",F_code)</f>
        <v>#N/A</v>
      </c>
      <c r="J7" s="10" cm="1">
        <f t="array" aca="1" ref="J7" ca="1">IF(isEmptyRow,"",INDIRECT("C"&amp;ROW())*INDIRECT("D"&amp;ROW()))</f>
        <v>2</v>
      </c>
      <c r="K7" s="10" cm="1">
        <f t="array" aca="1" ref="K7" ca="1">IF(isEmptyRow,"",J7*2)</f>
        <v>4</v>
      </c>
      <c r="L7" s="10" cm="1">
        <f t="array" aca="1" ref="L7" ca="1">IF(isEmptyRow,"",F_offset)</f>
        <v>10</v>
      </c>
      <c r="M7" s="11" t="str" cm="1">
        <f t="array" aca="1" ref="M7" ca="1">IF(isEmptyRow,"",F_address)</f>
        <v>00A</v>
      </c>
      <c r="N7" s="15" cm="1">
        <f t="array" aca="1" ref="N7" ca="1">F_残</f>
        <v>234</v>
      </c>
      <c r="P7" t="str" cm="1">
        <f t="array" aca="1" ref="P7" ca="1">IF(isDataRow,テーブル定義コード_データ行,IF(isTermRow,テーブル定義コード_番兵行,IF(isCloseRow,テーブル定義コード_最終行,"")))</f>
        <v xml:space="preserve">	{(UC*)&amp;PWSchg,										2*1},	//  10	00Ah	</v>
      </c>
    </row>
    <row r="8" spans="1:16">
      <c r="A8" s="19"/>
      <c r="B8" s="19" t="s">
        <v>15</v>
      </c>
      <c r="C8" s="19">
        <v>2</v>
      </c>
      <c r="D8" s="19">
        <v>1</v>
      </c>
      <c r="E8" s="20"/>
      <c r="F8" s="20"/>
      <c r="G8" s="19"/>
      <c r="H8" s="19"/>
      <c r="I8" s="10" t="e" cm="1">
        <f t="array" aca="1" ref="I8" ca="1">IF(isEmptyRow,"",F_code)</f>
        <v>#N/A</v>
      </c>
      <c r="J8" s="10" cm="1">
        <f t="array" aca="1" ref="J8" ca="1">IF(isEmptyRow,"",INDIRECT("C"&amp;ROW())*INDIRECT("D"&amp;ROW()))</f>
        <v>2</v>
      </c>
      <c r="K8" s="10" cm="1">
        <f t="array" aca="1" ref="K8" ca="1">IF(isEmptyRow,"",J8*2)</f>
        <v>4</v>
      </c>
      <c r="L8" s="10" cm="1">
        <f t="array" aca="1" ref="L8" ca="1">IF(isEmptyRow,"",F_offset)</f>
        <v>14</v>
      </c>
      <c r="M8" s="11" t="str" cm="1">
        <f t="array" aca="1" ref="M8" ca="1">IF(isEmptyRow,"",F_address)</f>
        <v>00E</v>
      </c>
      <c r="N8" s="15" cm="1">
        <f t="array" aca="1" ref="N8" ca="1">F_残</f>
        <v>230</v>
      </c>
      <c r="P8" t="str" cm="1">
        <f t="array" aca="1" ref="P8" ca="1">IF(isDataRow,テーブル定義コード_データ行,IF(isTermRow,テーブル定義コード_番兵行,IF(isCloseRow,テーブル定義コード_最終行,"")))</f>
        <v xml:space="preserve">	{(UC*)&amp;PWEchg,										2*1},	//  14	00Eh	</v>
      </c>
    </row>
    <row r="9" spans="1:16">
      <c r="A9" s="19"/>
      <c r="B9" s="19" t="s">
        <v>16</v>
      </c>
      <c r="C9" s="19">
        <v>2</v>
      </c>
      <c r="D9" s="19">
        <v>1</v>
      </c>
      <c r="E9" s="20"/>
      <c r="F9" s="20"/>
      <c r="G9" s="19"/>
      <c r="H9" s="19"/>
      <c r="I9" s="10" t="e" cm="1">
        <f t="array" aca="1" ref="I9" ca="1">IF(isEmptyRow,"",F_code)</f>
        <v>#N/A</v>
      </c>
      <c r="J9" s="10" cm="1">
        <f t="array" aca="1" ref="J9" ca="1">IF(isEmptyRow,"",INDIRECT("C"&amp;ROW())*INDIRECT("D"&amp;ROW()))</f>
        <v>2</v>
      </c>
      <c r="K9" s="10" cm="1">
        <f t="array" aca="1" ref="K9" ca="1">IF(isEmptyRow,"",J9*2)</f>
        <v>4</v>
      </c>
      <c r="L9" s="10" cm="1">
        <f t="array" aca="1" ref="L9" ca="1">IF(isEmptyRow,"",F_offset)</f>
        <v>18</v>
      </c>
      <c r="M9" s="11" t="str" cm="1">
        <f t="array" aca="1" ref="M9" ca="1">IF(isEmptyRow,"",F_address)</f>
        <v>012</v>
      </c>
      <c r="N9" s="15" cm="1">
        <f t="array" aca="1" ref="N9" ca="1">F_残</f>
        <v>226</v>
      </c>
      <c r="P9" t="str" cm="1">
        <f t="array" aca="1" ref="P9" ca="1">IF(isDataRow,テーブル定義コード_データ行,IF(isTermRow,テーブル定義コード_番兵行,IF(isCloseRow,テーブル定義コード_最終行,"")))</f>
        <v xml:space="preserve">	{(UC*)&amp;PWLchg,										2*1},	//  18	012h	</v>
      </c>
    </row>
    <row r="10" spans="1:16">
      <c r="A10" s="19"/>
      <c r="B10" s="19" t="s">
        <v>17</v>
      </c>
      <c r="C10" s="19">
        <v>2</v>
      </c>
      <c r="D10" s="19">
        <v>1</v>
      </c>
      <c r="E10" s="20"/>
      <c r="F10" s="20"/>
      <c r="G10" s="19"/>
      <c r="H10" s="19" t="s">
        <v>330</v>
      </c>
      <c r="I10" s="10" t="e" cm="1">
        <f t="array" aca="1" ref="I10" ca="1">IF(isEmptyRow,"",F_code)</f>
        <v>#N/A</v>
      </c>
      <c r="J10" s="10" cm="1">
        <f t="array" aca="1" ref="J10" ca="1">IF(isEmptyRow,"",INDIRECT("C"&amp;ROW())*INDIRECT("D"&amp;ROW()))</f>
        <v>2</v>
      </c>
      <c r="K10" s="10" cm="1">
        <f t="array" aca="1" ref="K10" ca="1">IF(isEmptyRow,"",J10*2)</f>
        <v>4</v>
      </c>
      <c r="L10" s="10" cm="1">
        <f t="array" aca="1" ref="L10" ca="1">IF(isEmptyRow,"",F_offset)</f>
        <v>22</v>
      </c>
      <c r="M10" s="11" t="str" cm="1">
        <f t="array" aca="1" ref="M10" ca="1">IF(isEmptyRow,"",F_address)</f>
        <v>016</v>
      </c>
      <c r="N10" s="15" cm="1">
        <f t="array" aca="1" ref="N10" ca="1">F_残</f>
        <v>222</v>
      </c>
      <c r="P10" t="str" cm="1">
        <f t="array" aca="1" ref="P10" ca="1">IF(isDataRow,テーブル定義コード_データ行,IF(isTermRow,テーブル定義コード_番兵行,IF(isCloseRow,テーブル定義コード_最終行,"")))</f>
        <v xml:space="preserve">	{(UC*)&amp;DummyOut2,									2*1},	//  22	016h	Reserved for Sensor</v>
      </c>
    </row>
    <row r="11" spans="1:16">
      <c r="A11" s="19"/>
      <c r="B11" s="19" t="s">
        <v>18</v>
      </c>
      <c r="C11" s="19">
        <v>6</v>
      </c>
      <c r="D11" s="19">
        <v>1</v>
      </c>
      <c r="E11" s="20"/>
      <c r="F11" s="20"/>
      <c r="G11" s="19"/>
      <c r="H11" s="19" t="s">
        <v>331</v>
      </c>
      <c r="I11" s="10" t="e" cm="1">
        <f t="array" aca="1" ref="I11" ca="1">IF(isEmptyRow,"",F_code)</f>
        <v>#N/A</v>
      </c>
      <c r="J11" s="10" cm="1">
        <f t="array" aca="1" ref="J11" ca="1">IF(isEmptyRow,"",INDIRECT("C"&amp;ROW())*INDIRECT("D"&amp;ROW()))</f>
        <v>6</v>
      </c>
      <c r="K11" s="10" cm="1">
        <f t="array" aca="1" ref="K11" ca="1">IF(isEmptyRow,"",J11*2)</f>
        <v>12</v>
      </c>
      <c r="L11" s="10" cm="1">
        <f t="array" aca="1" ref="L11" ca="1">IF(isEmptyRow,"",F_offset)</f>
        <v>26</v>
      </c>
      <c r="M11" s="11" t="str" cm="1">
        <f t="array" aca="1" ref="M11" ca="1">IF(isEmptyRow,"",F_address)</f>
        <v>01A</v>
      </c>
      <c r="N11" s="15" cm="1">
        <f t="array" aca="1" ref="N11" ca="1">F_残</f>
        <v>210</v>
      </c>
      <c r="P11" t="str" cm="1">
        <f t="array" aca="1" ref="P11" ca="1">IF(isDataRow,テーブル定義コード_データ行,IF(isTermRow,テーブル定義コード_番兵行,IF(isCloseRow,テーブル定義コード_最終行,"")))</f>
        <v xml:space="preserve">	{(UC*)&amp;DummyOut,									6*1},	//  26	01Ah	Reserved</v>
      </c>
    </row>
    <row r="12" spans="1:16">
      <c r="A12" s="19"/>
      <c r="B12" s="19" t="s">
        <v>19</v>
      </c>
      <c r="C12" s="19">
        <v>1</v>
      </c>
      <c r="D12" s="19">
        <v>1</v>
      </c>
      <c r="E12" s="20"/>
      <c r="F12" s="20"/>
      <c r="G12" s="19"/>
      <c r="H12" s="19" t="s">
        <v>332</v>
      </c>
      <c r="I12" s="10" t="e" cm="1">
        <f t="array" aca="1" ref="I12" ca="1">IF(isEmptyRow,"",F_code)</f>
        <v>#N/A</v>
      </c>
      <c r="J12" s="10" cm="1">
        <f t="array" aca="1" ref="J12" ca="1">IF(isEmptyRow,"",INDIRECT("C"&amp;ROW())*INDIRECT("D"&amp;ROW()))</f>
        <v>1</v>
      </c>
      <c r="K12" s="10" cm="1">
        <f t="array" aca="1" ref="K12" ca="1">IF(isEmptyRow,"",J12*2)</f>
        <v>2</v>
      </c>
      <c r="L12" s="10" cm="1">
        <f t="array" aca="1" ref="L12" ca="1">IF(isEmptyRow,"",F_offset)</f>
        <v>38</v>
      </c>
      <c r="M12" s="11" t="str" cm="1">
        <f t="array" aca="1" ref="M12" ca="1">IF(isEmptyRow,"",F_address)</f>
        <v>026</v>
      </c>
      <c r="N12" s="15" cm="1">
        <f t="array" aca="1" ref="N12" ca="1">F_残</f>
        <v>208</v>
      </c>
      <c r="P12" t="str" cm="1">
        <f t="array" aca="1" ref="P12" ca="1">IF(isDataRow,テーブル定義コード_データ行,IF(isTermRow,テーブル定義コード_番兵行,IF(isCloseRow,テーブル定義コード_最終行,"")))</f>
        <v xml:space="preserve">	{(UC*)&amp;DriveMode.uc,								1*1},	//  38	026h	DriveMode</v>
      </c>
    </row>
    <row r="13" spans="1:16">
      <c r="A13" s="19"/>
      <c r="B13" s="19" t="s">
        <v>20</v>
      </c>
      <c r="C13" s="19">
        <v>1</v>
      </c>
      <c r="D13" s="19">
        <v>1</v>
      </c>
      <c r="E13" s="20"/>
      <c r="F13" s="20"/>
      <c r="G13" s="19"/>
      <c r="H13" s="19"/>
      <c r="I13" s="10" t="e" cm="1">
        <f t="array" aca="1" ref="I13" ca="1">IF(isEmptyRow,"",F_code)</f>
        <v>#N/A</v>
      </c>
      <c r="J13" s="10" cm="1">
        <f t="array" aca="1" ref="J13" ca="1">IF(isEmptyRow,"",INDIRECT("C"&amp;ROW())*INDIRECT("D"&amp;ROW()))</f>
        <v>1</v>
      </c>
      <c r="K13" s="10" cm="1">
        <f t="array" aca="1" ref="K13" ca="1">IF(isEmptyRow,"",J13*2)</f>
        <v>2</v>
      </c>
      <c r="L13" s="10" cm="1">
        <f t="array" aca="1" ref="L13" ca="1">IF(isEmptyRow,"",F_offset)</f>
        <v>40</v>
      </c>
      <c r="M13" s="11" t="str" cm="1">
        <f t="array" aca="1" ref="M13" ca="1">IF(isEmptyRow,"",F_address)</f>
        <v>028</v>
      </c>
      <c r="N13" s="15" cm="1">
        <f t="array" aca="1" ref="N13" ca="1">F_残</f>
        <v>206</v>
      </c>
      <c r="P13" t="str" cm="1">
        <f t="array" aca="1" ref="P13" ca="1">IF(isDataRow,テーブル定義コード_データ行,IF(isTermRow,テーブル定義コード_番兵行,IF(isCloseRow,テーブル定義コード_最終行,"")))</f>
        <v xml:space="preserve">	{(UC*)&amp;E2DN_ModelSelect003,							1*1},	//  40	028h	</v>
      </c>
    </row>
    <row r="14" spans="1:16">
      <c r="A14" s="19"/>
      <c r="B14" s="19" t="s">
        <v>21</v>
      </c>
      <c r="C14" s="19">
        <v>1</v>
      </c>
      <c r="D14" s="19">
        <v>1</v>
      </c>
      <c r="E14" s="20"/>
      <c r="F14" s="20"/>
      <c r="G14" s="19"/>
      <c r="H14" s="19"/>
      <c r="I14" s="10" t="e" cm="1">
        <f t="array" aca="1" ref="I14" ca="1">IF(isEmptyRow,"",F_code)</f>
        <v>#N/A</v>
      </c>
      <c r="J14" s="10" cm="1">
        <f t="array" aca="1" ref="J14" ca="1">IF(isEmptyRow,"",INDIRECT("C"&amp;ROW())*INDIRECT("D"&amp;ROW()))</f>
        <v>1</v>
      </c>
      <c r="K14" s="10" cm="1">
        <f t="array" aca="1" ref="K14" ca="1">IF(isEmptyRow,"",J14*2)</f>
        <v>2</v>
      </c>
      <c r="L14" s="10" cm="1">
        <f t="array" aca="1" ref="L14" ca="1">IF(isEmptyRow,"",F_offset)</f>
        <v>42</v>
      </c>
      <c r="M14" s="11" t="str" cm="1">
        <f t="array" aca="1" ref="M14" ca="1">IF(isEmptyRow,"",F_address)</f>
        <v>02A</v>
      </c>
      <c r="N14" s="15" cm="1">
        <f t="array" aca="1" ref="N14" ca="1">F_残</f>
        <v>204</v>
      </c>
      <c r="P14" t="str" cm="1">
        <f t="array" aca="1" ref="P14" ca="1">IF(isDataRow,テーブル定義コード_データ行,IF(isTermRow,テーブル定義コード_番兵行,IF(isCloseRow,テーブル定義コード_最終行,"")))</f>
        <v xml:space="preserve">	{(UC*)&amp;SWRT_UnitHP,									1*1},	//  42	02Ah	</v>
      </c>
    </row>
    <row r="15" spans="1:16">
      <c r="A15" s="19"/>
      <c r="B15" s="19" t="s">
        <v>22</v>
      </c>
      <c r="C15" s="19">
        <v>1</v>
      </c>
      <c r="D15" s="19">
        <v>1</v>
      </c>
      <c r="E15" s="20"/>
      <c r="F15" s="20"/>
      <c r="G15" s="19"/>
      <c r="H15" s="19"/>
      <c r="I15" s="10" t="e" cm="1">
        <f t="array" aca="1" ref="I15" ca="1">IF(isEmptyRow,"",F_code)</f>
        <v>#N/A</v>
      </c>
      <c r="J15" s="10" cm="1">
        <f t="array" aca="1" ref="J15" ca="1">IF(isEmptyRow,"",INDIRECT("C"&amp;ROW())*INDIRECT("D"&amp;ROW()))</f>
        <v>1</v>
      </c>
      <c r="K15" s="10" cm="1">
        <f t="array" aca="1" ref="K15" ca="1">IF(isEmptyRow,"",J15*2)</f>
        <v>2</v>
      </c>
      <c r="L15" s="10" cm="1">
        <f t="array" aca="1" ref="L15" ca="1">IF(isEmptyRow,"",F_offset)</f>
        <v>44</v>
      </c>
      <c r="M15" s="11" t="str" cm="1">
        <f t="array" aca="1" ref="M15" ca="1">IF(isEmptyRow,"",F_address)</f>
        <v>02C</v>
      </c>
      <c r="N15" s="15" cm="1">
        <f t="array" aca="1" ref="N15" ca="1">F_残</f>
        <v>202</v>
      </c>
      <c r="P15" t="str" cm="1">
        <f t="array" aca="1" ref="P15" ca="1">IF(isDataRow,テーブル定義コード_データ行,IF(isTermRow,テーブル定義コード_番兵行,IF(isCloseRow,テーブル定義コード_最終行,"")))</f>
        <v xml:space="preserve">	{(UC*)&amp;HydroDriveFLG1_swrt,							1*1},	//  44	02Ch	</v>
      </c>
    </row>
    <row r="16" spans="1:16">
      <c r="A16" s="19"/>
      <c r="B16" s="19" t="s">
        <v>23</v>
      </c>
      <c r="C16" s="19">
        <v>2</v>
      </c>
      <c r="D16" s="19">
        <v>1</v>
      </c>
      <c r="E16" s="20"/>
      <c r="F16" s="20"/>
      <c r="G16" s="19"/>
      <c r="H16" s="19"/>
      <c r="I16" s="10" t="e" cm="1">
        <f t="array" aca="1" ref="I16" ca="1">IF(isEmptyRow,"",F_code)</f>
        <v>#N/A</v>
      </c>
      <c r="J16" s="10" cm="1">
        <f t="array" aca="1" ref="J16" ca="1">IF(isEmptyRow,"",INDIRECT("C"&amp;ROW())*INDIRECT("D"&amp;ROW()))</f>
        <v>2</v>
      </c>
      <c r="K16" s="10" cm="1">
        <f t="array" aca="1" ref="K16" ca="1">IF(isEmptyRow,"",J16*2)</f>
        <v>4</v>
      </c>
      <c r="L16" s="10" cm="1">
        <f t="array" aca="1" ref="L16" ca="1">IF(isEmptyRow,"",F_offset)</f>
        <v>46</v>
      </c>
      <c r="M16" s="11" t="str" cm="1">
        <f t="array" aca="1" ref="M16" ca="1">IF(isEmptyRow,"",F_address)</f>
        <v>02E</v>
      </c>
      <c r="N16" s="15" cm="1">
        <f t="array" aca="1" ref="N16" ca="1">F_残</f>
        <v>198</v>
      </c>
      <c r="P16" t="str" cm="1">
        <f t="array" aca="1" ref="P16" ca="1">IF(isDataRow,テーブル定義コード_データ行,IF(isTermRow,テーブル定義コード_番兵行,IF(isCloseRow,テーブル定義コード_最終行,"")))</f>
        <v xml:space="preserve">	{(UC*)&amp;Hydro.CircHP_x10,							2*1},	//  46	02Eh	</v>
      </c>
    </row>
    <row r="17" spans="1:16">
      <c r="A17" s="19"/>
      <c r="B17" s="19" t="s">
        <v>24</v>
      </c>
      <c r="C17" s="19">
        <v>2</v>
      </c>
      <c r="D17" s="19">
        <v>1</v>
      </c>
      <c r="E17" s="20"/>
      <c r="F17" s="20"/>
      <c r="G17" s="19"/>
      <c r="H17" s="19"/>
      <c r="I17" s="10" t="e" cm="1">
        <f t="array" aca="1" ref="I17" ca="1">IF(isEmptyRow,"",F_code)</f>
        <v>#N/A</v>
      </c>
      <c r="J17" s="10" cm="1">
        <f t="array" aca="1" ref="J17" ca="1">IF(isEmptyRow,"",INDIRECT("C"&amp;ROW())*INDIRECT("D"&amp;ROW()))</f>
        <v>2</v>
      </c>
      <c r="K17" s="10" cm="1">
        <f t="array" aca="1" ref="K17" ca="1">IF(isEmptyRow,"",J17*2)</f>
        <v>4</v>
      </c>
      <c r="L17" s="10" cm="1">
        <f t="array" aca="1" ref="L17" ca="1">IF(isEmptyRow,"",F_offset)</f>
        <v>50</v>
      </c>
      <c r="M17" s="11" t="str" cm="1">
        <f t="array" aca="1" ref="M17" ca="1">IF(isEmptyRow,"",F_address)</f>
        <v>032</v>
      </c>
      <c r="N17" s="15" cm="1">
        <f t="array" aca="1" ref="N17" ca="1">F_残</f>
        <v>194</v>
      </c>
      <c r="P17" t="str" cm="1">
        <f t="array" aca="1" ref="P17" ca="1">IF(isDataRow,テーブル定義コード_データ行,IF(isTermRow,テーブル定義コード_番兵行,IF(isCloseRow,テーブル定義コード_最終行,"")))</f>
        <v xml:space="preserve">	{(UC*)&amp;Hydro_capa.Qn_x100,							2*1},	//  50	032h	</v>
      </c>
    </row>
    <row r="18" spans="1:16">
      <c r="A18" s="19"/>
      <c r="B18" s="19" t="s">
        <v>25</v>
      </c>
      <c r="C18" s="19">
        <v>2</v>
      </c>
      <c r="D18" s="19">
        <v>1</v>
      </c>
      <c r="E18" s="20"/>
      <c r="F18" s="20"/>
      <c r="G18" s="19"/>
      <c r="H18" s="19"/>
      <c r="I18" s="10" t="e" cm="1">
        <f t="array" aca="1" ref="I18" ca="1">IF(isEmptyRow,"",F_code)</f>
        <v>#N/A</v>
      </c>
      <c r="J18" s="10" cm="1">
        <f t="array" aca="1" ref="J18" ca="1">IF(isEmptyRow,"",INDIRECT("C"&amp;ROW())*INDIRECT("D"&amp;ROW()))</f>
        <v>2</v>
      </c>
      <c r="K18" s="10" cm="1">
        <f t="array" aca="1" ref="K18" ca="1">IF(isEmptyRow,"",J18*2)</f>
        <v>4</v>
      </c>
      <c r="L18" s="10" cm="1">
        <f t="array" aca="1" ref="L18" ca="1">IF(isEmptyRow,"",F_offset)</f>
        <v>54</v>
      </c>
      <c r="M18" s="11" t="str" cm="1">
        <f t="array" aca="1" ref="M18" ca="1">IF(isEmptyRow,"",F_address)</f>
        <v>036</v>
      </c>
      <c r="N18" s="15" cm="1">
        <f t="array" aca="1" ref="N18" ca="1">F_残</f>
        <v>190</v>
      </c>
      <c r="P18" t="str" cm="1">
        <f t="array" aca="1" ref="P18" ca="1">IF(isDataRow,テーブル定義コード_データ行,IF(isTermRow,テーブル定義コード_番兵行,IF(isCloseRow,テーブル定義コード_最終行,"")))</f>
        <v xml:space="preserve">	{(UC*)&amp;Hydro.MinTs_x10,								2*1},	//  54	036h	</v>
      </c>
    </row>
    <row r="19" spans="1:16">
      <c r="A19" s="19"/>
      <c r="B19" s="19" t="s">
        <v>26</v>
      </c>
      <c r="C19" s="19">
        <v>2</v>
      </c>
      <c r="D19" s="19">
        <v>1</v>
      </c>
      <c r="E19" s="20"/>
      <c r="F19" s="20"/>
      <c r="G19" s="19"/>
      <c r="H19" s="19"/>
      <c r="I19" s="10" t="e" cm="1">
        <f t="array" aca="1" ref="I19" ca="1">IF(isEmptyRow,"",F_code)</f>
        <v>#N/A</v>
      </c>
      <c r="J19" s="10" cm="1">
        <f t="array" aca="1" ref="J19" ca="1">IF(isEmptyRow,"",INDIRECT("C"&amp;ROW())*INDIRECT("D"&amp;ROW()))</f>
        <v>2</v>
      </c>
      <c r="K19" s="10" cm="1">
        <f t="array" aca="1" ref="K19" ca="1">IF(isEmptyRow,"",J19*2)</f>
        <v>4</v>
      </c>
      <c r="L19" s="10" cm="1">
        <f t="array" aca="1" ref="L19" ca="1">IF(isEmptyRow,"",F_offset)</f>
        <v>58</v>
      </c>
      <c r="M19" s="11" t="str" cm="1">
        <f t="array" aca="1" ref="M19" ca="1">IF(isEmptyRow,"",F_address)</f>
        <v>03A</v>
      </c>
      <c r="N19" s="15" cm="1">
        <f t="array" aca="1" ref="N19" ca="1">F_残</f>
        <v>186</v>
      </c>
      <c r="P19" t="str" cm="1">
        <f t="array" aca="1" ref="P19" ca="1">IF(isDataRow,テーブル定義コード_データ行,IF(isTermRow,テーブル定義コード_番兵行,IF(isCloseRow,テーブル定義コード_最終行,"")))</f>
        <v xml:space="preserve">	{(UC*)&amp;Hydro.MaxTs_x10,								2*1},	//  58	03Ah	</v>
      </c>
    </row>
    <row r="20" spans="1:16">
      <c r="A20" s="19"/>
      <c r="B20" s="19" t="s">
        <v>27</v>
      </c>
      <c r="C20" s="19">
        <v>2</v>
      </c>
      <c r="D20" s="19">
        <v>1</v>
      </c>
      <c r="E20" s="20"/>
      <c r="F20" s="20"/>
      <c r="G20" s="19"/>
      <c r="H20" s="19"/>
      <c r="I20" s="10" t="e" cm="1">
        <f t="array" aca="1" ref="I20" ca="1">IF(isEmptyRow,"",F_code)</f>
        <v>#N/A</v>
      </c>
      <c r="J20" s="10" cm="1">
        <f t="array" aca="1" ref="J20" ca="1">IF(isEmptyRow,"",INDIRECT("C"&amp;ROW())*INDIRECT("D"&amp;ROW()))</f>
        <v>2</v>
      </c>
      <c r="K20" s="10" cm="1">
        <f t="array" aca="1" ref="K20" ca="1">IF(isEmptyRow,"",J20*2)</f>
        <v>4</v>
      </c>
      <c r="L20" s="10" cm="1">
        <f t="array" aca="1" ref="L20" ca="1">IF(isEmptyRow,"",F_offset)</f>
        <v>62</v>
      </c>
      <c r="M20" s="11" t="str" cm="1">
        <f t="array" aca="1" ref="M20" ca="1">IF(isEmptyRow,"",F_address)</f>
        <v>03E</v>
      </c>
      <c r="N20" s="15" cm="1">
        <f t="array" aca="1" ref="N20" ca="1">F_残</f>
        <v>182</v>
      </c>
      <c r="P20" t="str" cm="1">
        <f t="array" aca="1" ref="P20" ca="1">IF(isDataRow,テーブル定義コード_データ行,IF(isTermRow,テーブル定義コード_番兵行,IF(isCloseRow,テーブル定義コード_最終行,"")))</f>
        <v xml:space="preserve">	{(UC*)&amp;Hydro.Tsw_x10,								2*1},	//  62	03Eh	</v>
      </c>
    </row>
    <row r="21" spans="1:16">
      <c r="A21" s="19"/>
      <c r="B21" s="19" t="s">
        <v>28</v>
      </c>
      <c r="C21" s="19">
        <v>1</v>
      </c>
      <c r="D21" s="19">
        <v>1</v>
      </c>
      <c r="E21" s="20"/>
      <c r="F21" s="20"/>
      <c r="G21" s="19"/>
      <c r="H21" s="19"/>
      <c r="I21" s="10" t="e" cm="1">
        <f t="array" aca="1" ref="I21" ca="1">IF(isEmptyRow,"",F_code)</f>
        <v>#N/A</v>
      </c>
      <c r="J21" s="10" cm="1">
        <f t="array" aca="1" ref="J21" ca="1">IF(isEmptyRow,"",INDIRECT("C"&amp;ROW())*INDIRECT("D"&amp;ROW()))</f>
        <v>1</v>
      </c>
      <c r="K21" s="10" cm="1">
        <f t="array" aca="1" ref="K21" ca="1">IF(isEmptyRow,"",J21*2)</f>
        <v>2</v>
      </c>
      <c r="L21" s="10" cm="1">
        <f t="array" aca="1" ref="L21" ca="1">IF(isEmptyRow,"",F_offset)</f>
        <v>66</v>
      </c>
      <c r="M21" s="11" t="str" cm="1">
        <f t="array" aca="1" ref="M21" ca="1">IF(isEmptyRow,"",F_address)</f>
        <v>042</v>
      </c>
      <c r="N21" s="15" cm="1">
        <f t="array" aca="1" ref="N21" ca="1">F_残</f>
        <v>180</v>
      </c>
      <c r="P21" t="str" cm="1">
        <f t="array" aca="1" ref="P21" ca="1">IF(isDataRow,テーブル定義コード_データ行,IF(isTermRow,テーブル定義コード_番兵行,IF(isCloseRow,テーブル定義コード_最終行,"")))</f>
        <v xml:space="preserve">	{(UC*)&amp;OduDriveFLG1_swrt,							1*1},	//  66	042h	</v>
      </c>
    </row>
    <row r="22" spans="1:16">
      <c r="A22" s="19"/>
      <c r="B22" s="19" t="s">
        <v>29</v>
      </c>
      <c r="C22" s="19">
        <v>1</v>
      </c>
      <c r="D22" s="19">
        <v>67</v>
      </c>
      <c r="E22" s="20"/>
      <c r="F22" s="20"/>
      <c r="G22" s="19"/>
      <c r="H22" s="19"/>
      <c r="I22" s="10" t="e" cm="1">
        <f t="array" aca="1" ref="I22" ca="1">IF(isEmptyRow,"",F_code)</f>
        <v>#N/A</v>
      </c>
      <c r="J22" s="10" cm="1">
        <f t="array" aca="1" ref="J22" ca="1">IF(isEmptyRow,"",INDIRECT("C"&amp;ROW())*INDIRECT("D"&amp;ROW()))</f>
        <v>67</v>
      </c>
      <c r="K22" s="10" cm="1">
        <f t="array" aca="1" ref="K22" ca="1">IF(isEmptyRow,"",J22*2)</f>
        <v>134</v>
      </c>
      <c r="L22" s="10" cm="1">
        <f t="array" aca="1" ref="L22" ca="1">IF(isEmptyRow,"",F_offset)</f>
        <v>68</v>
      </c>
      <c r="M22" s="11" t="str" cm="1">
        <f t="array" aca="1" ref="M22" ca="1">IF(isEmptyRow,"",F_address)</f>
        <v>044</v>
      </c>
      <c r="N22" s="15" cm="1">
        <f t="array" aca="1" ref="N22" ca="1">F_残</f>
        <v>46</v>
      </c>
      <c r="P22" t="str" cm="1">
        <f t="array" aca="1" ref="P22" ca="1">IF(isDataRow,テーブル定義コード_データ行,IF(isTermRow,テーブル定義コード_番兵行,IF(isCloseRow,テーブル定義コード_最終行,"")))</f>
        <v xml:space="preserve">	{(UC*)&amp;DummyOutArray,								1*67},	//  68	044h	</v>
      </c>
    </row>
    <row r="23" spans="1:16">
      <c r="A23" s="19"/>
      <c r="B23" s="19" t="s">
        <v>30</v>
      </c>
      <c r="C23" s="19">
        <v>1</v>
      </c>
      <c r="D23" s="19">
        <v>1</v>
      </c>
      <c r="E23" s="20"/>
      <c r="F23" s="20"/>
      <c r="G23" s="19"/>
      <c r="H23" s="19"/>
      <c r="I23" s="10" t="e" cm="1">
        <f t="array" aca="1" ref="I23" ca="1">IF(isEmptyRow,"",F_code)</f>
        <v>#N/A</v>
      </c>
      <c r="J23" s="10" cm="1">
        <f t="array" aca="1" ref="J23" ca="1">IF(isEmptyRow,"",INDIRECT("C"&amp;ROW())*INDIRECT("D"&amp;ROW()))</f>
        <v>1</v>
      </c>
      <c r="K23" s="10" cm="1">
        <f t="array" aca="1" ref="K23" ca="1">IF(isEmptyRow,"",J23*2)</f>
        <v>2</v>
      </c>
      <c r="L23" s="10" cm="1">
        <f t="array" aca="1" ref="L23" ca="1">IF(isEmptyRow,"",F_offset)</f>
        <v>202</v>
      </c>
      <c r="M23" s="11" t="str" cm="1">
        <f t="array" aca="1" ref="M23" ca="1">IF(isEmptyRow,"",F_address)</f>
        <v>0CA</v>
      </c>
      <c r="N23" s="15" cm="1">
        <f t="array" aca="1" ref="N23" ca="1">F_残</f>
        <v>44</v>
      </c>
      <c r="P23" t="str" cm="1">
        <f t="array" aca="1" ref="P23" ca="1">IF(isDataRow,テーブル定義コード_データ行,IF(isTermRow,テーブル定義コード_番兵行,IF(isCloseRow,テーブル定義コード_最終行,"")))</f>
        <v xml:space="preserve">	{(UC*)&amp;Hydro_capa.T1m_ini_Ro,						1*1},	// 202	0CAh	</v>
      </c>
    </row>
    <row r="24" spans="1:16">
      <c r="A24" s="19"/>
      <c r="B24" s="19" t="s">
        <v>31</v>
      </c>
      <c r="C24" s="19">
        <v>2</v>
      </c>
      <c r="D24" s="19">
        <v>1</v>
      </c>
      <c r="E24" s="20"/>
      <c r="F24" s="20"/>
      <c r="G24" s="19"/>
      <c r="H24" s="19"/>
      <c r="I24" s="10" t="e" cm="1">
        <f t="array" aca="1" ref="I24" ca="1">IF(isEmptyRow,"",F_code)</f>
        <v>#N/A</v>
      </c>
      <c r="J24" s="10" cm="1">
        <f t="array" aca="1" ref="J24" ca="1">IF(isEmptyRow,"",INDIRECT("C"&amp;ROW())*INDIRECT("D"&amp;ROW()))</f>
        <v>2</v>
      </c>
      <c r="K24" s="10" cm="1">
        <f t="array" aca="1" ref="K24" ca="1">IF(isEmptyRow,"",J24*2)</f>
        <v>4</v>
      </c>
      <c r="L24" s="10" cm="1">
        <f t="array" aca="1" ref="L24" ca="1">IF(isEmptyRow,"",F_offset)</f>
        <v>204</v>
      </c>
      <c r="M24" s="11" t="str" cm="1">
        <f t="array" aca="1" ref="M24" ca="1">IF(isEmptyRow,"",F_address)</f>
        <v>0CC</v>
      </c>
      <c r="N24" s="15" cm="1">
        <f t="array" aca="1" ref="N24" ca="1">F_残</f>
        <v>40</v>
      </c>
      <c r="P24" t="str" cm="1">
        <f t="array" aca="1" ref="P24" ca="1">IF(isDataRow,テーブル定義コード_データ行,IF(isTermRow,テーブル定義コード_番兵行,IF(isCloseRow,テーブル定義コード_最終行,"")))</f>
        <v xml:space="preserve">	{(UC*)&amp;Hydro_capa.Rn_x100,							2*1},	// 204	0CCh	</v>
      </c>
    </row>
    <row r="25" spans="1:16">
      <c r="A25" s="19"/>
      <c r="B25" s="19" t="s">
        <v>32</v>
      </c>
      <c r="C25" s="19">
        <v>2</v>
      </c>
      <c r="D25" s="19">
        <v>1</v>
      </c>
      <c r="E25" s="20"/>
      <c r="F25" s="20"/>
      <c r="G25" s="19"/>
      <c r="H25" s="19"/>
      <c r="I25" s="10" t="e" cm="1">
        <f t="array" aca="1" ref="I25" ca="1">IF(isEmptyRow,"",F_code)</f>
        <v>#N/A</v>
      </c>
      <c r="J25" s="10" cm="1">
        <f t="array" aca="1" ref="J25" ca="1">IF(isEmptyRow,"",INDIRECT("C"&amp;ROW())*INDIRECT("D"&amp;ROW()))</f>
        <v>2</v>
      </c>
      <c r="K25" s="10" cm="1">
        <f t="array" aca="1" ref="K25" ca="1">IF(isEmptyRow,"",J25*2)</f>
        <v>4</v>
      </c>
      <c r="L25" s="10" cm="1">
        <f t="array" aca="1" ref="L25" ca="1">IF(isEmptyRow,"",F_offset)</f>
        <v>208</v>
      </c>
      <c r="M25" s="11" t="str" cm="1">
        <f t="array" aca="1" ref="M25" ca="1">IF(isEmptyRow,"",F_address)</f>
        <v>0D0</v>
      </c>
      <c r="N25" s="15" cm="1">
        <f t="array" aca="1" ref="N25" ca="1">F_残</f>
        <v>36</v>
      </c>
      <c r="P25" t="str" cm="1">
        <f t="array" aca="1" ref="P25" ca="1">IF(isDataRow,テーブル定義コード_データ行,IF(isTermRow,テーブル定義コード_番兵行,IF(isCloseRow,テーブル定義コード_最終行,"")))</f>
        <v xml:space="preserve">	{(UC*)&amp;Hydro_capa.SWRT_MaxRn,						2*1},	// 208	0D0h	</v>
      </c>
    </row>
    <row r="26" spans="1:16">
      <c r="A26" s="19"/>
      <c r="B26" s="19" t="s">
        <v>33</v>
      </c>
      <c r="C26" s="19">
        <v>2</v>
      </c>
      <c r="D26" s="19">
        <v>1</v>
      </c>
      <c r="E26" s="20"/>
      <c r="F26" s="20"/>
      <c r="G26" s="19"/>
      <c r="H26" s="19"/>
      <c r="I26" s="10" t="e" cm="1">
        <f t="array" aca="1" ref="I26" ca="1">IF(isEmptyRow,"",F_code)</f>
        <v>#N/A</v>
      </c>
      <c r="J26" s="10" cm="1">
        <f t="array" aca="1" ref="J26" ca="1">IF(isEmptyRow,"",INDIRECT("C"&amp;ROW())*INDIRECT("D"&amp;ROW()))</f>
        <v>2</v>
      </c>
      <c r="K26" s="10" cm="1">
        <f t="array" aca="1" ref="K26" ca="1">IF(isEmptyRow,"",J26*2)</f>
        <v>4</v>
      </c>
      <c r="L26" s="10" cm="1">
        <f t="array" aca="1" ref="L26" ca="1">IF(isEmptyRow,"",F_offset)</f>
        <v>212</v>
      </c>
      <c r="M26" s="11" t="str" cm="1">
        <f t="array" aca="1" ref="M26" ca="1">IF(isEmptyRow,"",F_address)</f>
        <v>0D4</v>
      </c>
      <c r="N26" s="15" cm="1">
        <f t="array" aca="1" ref="N26" ca="1">F_残</f>
        <v>32</v>
      </c>
      <c r="P26" t="str" cm="1">
        <f t="array" aca="1" ref="P26" ca="1">IF(isDataRow,テーブル定義コード_データ行,IF(isTermRow,テーブル定義コード_番兵行,IF(isCloseRow,テーブル定義コード_最終行,"")))</f>
        <v xml:space="preserve">	{(UC*)&amp;Hydro_capa.SWRT_Delta_Rn_x100,				2*1},	// 212	0D4h	</v>
      </c>
    </row>
    <row r="27" spans="1:16">
      <c r="A27" s="19"/>
      <c r="B27" s="19" t="s">
        <v>34</v>
      </c>
      <c r="C27" s="19">
        <v>2</v>
      </c>
      <c r="D27" s="19">
        <v>1</v>
      </c>
      <c r="E27" s="20"/>
      <c r="F27" s="20"/>
      <c r="G27" s="19"/>
      <c r="H27" s="19"/>
      <c r="I27" s="10" t="e" cm="1">
        <f t="array" aca="1" ref="I27" ca="1">IF(isEmptyRow,"",F_code)</f>
        <v>#N/A</v>
      </c>
      <c r="J27" s="10" cm="1">
        <f t="array" aca="1" ref="J27" ca="1">IF(isEmptyRow,"",INDIRECT("C"&amp;ROW())*INDIRECT("D"&amp;ROW()))</f>
        <v>2</v>
      </c>
      <c r="K27" s="10" cm="1">
        <f t="array" aca="1" ref="K27" ca="1">IF(isEmptyRow,"",J27*2)</f>
        <v>4</v>
      </c>
      <c r="L27" s="10" cm="1">
        <f t="array" aca="1" ref="L27" ca="1">IF(isEmptyRow,"",F_offset)</f>
        <v>216</v>
      </c>
      <c r="M27" s="11" t="str" cm="1">
        <f t="array" aca="1" ref="M27" ca="1">IF(isEmptyRow,"",F_address)</f>
        <v>0D8</v>
      </c>
      <c r="N27" s="15" cm="1">
        <f t="array" aca="1" ref="N27" ca="1">F_残</f>
        <v>28</v>
      </c>
      <c r="P27" t="str" cm="1">
        <f t="array" aca="1" ref="P27" ca="1">IF(isDataRow,テーブル定義コード_データ行,IF(isTermRow,テーブル定義コード_番兵行,IF(isCloseRow,テーブル定義コード_最終行,"")))</f>
        <v xml:space="preserve">	{(UC*)&amp;Hydro_capa.SWRT_GA_x100,						2*1},	// 216	0D8h	</v>
      </c>
    </row>
    <row r="28" spans="1:16">
      <c r="A28" s="19"/>
      <c r="B28" s="19" t="s">
        <v>35</v>
      </c>
      <c r="C28" s="19">
        <v>2</v>
      </c>
      <c r="D28" s="19">
        <v>1</v>
      </c>
      <c r="E28" s="20"/>
      <c r="F28" s="20"/>
      <c r="G28" s="19"/>
      <c r="H28" s="19"/>
      <c r="I28" s="10" t="e" cm="1">
        <f t="array" aca="1" ref="I28" ca="1">IF(isEmptyRow,"",F_code)</f>
        <v>#N/A</v>
      </c>
      <c r="J28" s="10" cm="1">
        <f t="array" aca="1" ref="J28" ca="1">IF(isEmptyRow,"",INDIRECT("C"&amp;ROW())*INDIRECT("D"&amp;ROW()))</f>
        <v>2</v>
      </c>
      <c r="K28" s="10" cm="1">
        <f t="array" aca="1" ref="K28" ca="1">IF(isEmptyRow,"",J28*2)</f>
        <v>4</v>
      </c>
      <c r="L28" s="10" cm="1">
        <f t="array" aca="1" ref="L28" ca="1">IF(isEmptyRow,"",F_offset)</f>
        <v>220</v>
      </c>
      <c r="M28" s="11" t="str" cm="1">
        <f t="array" aca="1" ref="M28" ca="1">IF(isEmptyRow,"",F_address)</f>
        <v>0DC</v>
      </c>
      <c r="N28" s="15" cm="1">
        <f t="array" aca="1" ref="N28" ca="1">F_残</f>
        <v>24</v>
      </c>
      <c r="P28" t="str" cm="1">
        <f t="array" aca="1" ref="P28" ca="1">IF(isDataRow,テーブル定義コード_データ行,IF(isTermRow,テーブル定義コード_番兵行,IF(isCloseRow,テーブル定義コード_最終行,"")))</f>
        <v xml:space="preserve">	{(UC*)&amp;Hydro_capa.SWRT_Delta_Tc_x10,				2*1},	// 220	0DCh	</v>
      </c>
    </row>
    <row r="29" spans="1:16">
      <c r="A29" s="19"/>
      <c r="B29" s="19" t="s">
        <v>36</v>
      </c>
      <c r="C29" s="19">
        <v>2</v>
      </c>
      <c r="D29" s="19">
        <v>1</v>
      </c>
      <c r="E29" s="20"/>
      <c r="F29" s="20"/>
      <c r="G29" s="19"/>
      <c r="H29" s="19"/>
      <c r="I29" s="10" t="e" cm="1">
        <f t="array" aca="1" ref="I29" ca="1">IF(isEmptyRow,"",F_code)</f>
        <v>#N/A</v>
      </c>
      <c r="J29" s="10" cm="1">
        <f t="array" aca="1" ref="J29" ca="1">IF(isEmptyRow,"",INDIRECT("C"&amp;ROW())*INDIRECT("D"&amp;ROW()))</f>
        <v>2</v>
      </c>
      <c r="K29" s="10" cm="1">
        <f t="array" aca="1" ref="K29" ca="1">IF(isEmptyRow,"",J29*2)</f>
        <v>4</v>
      </c>
      <c r="L29" s="10" cm="1">
        <f t="array" aca="1" ref="L29" ca="1">IF(isEmptyRow,"",F_offset)</f>
        <v>224</v>
      </c>
      <c r="M29" s="11" t="str" cm="1">
        <f t="array" aca="1" ref="M29" ca="1">IF(isEmptyRow,"",F_address)</f>
        <v>0E0</v>
      </c>
      <c r="N29" s="15" cm="1">
        <f t="array" aca="1" ref="N29" ca="1">F_残</f>
        <v>20</v>
      </c>
      <c r="P29" t="str" cm="1">
        <f t="array" aca="1" ref="P29" ca="1">IF(isDataRow,テーブル定義コード_データ行,IF(isTermRow,テーブル定義コード_番兵行,IF(isCloseRow,テーブル定義コード_最終行,"")))</f>
        <v xml:space="preserve">	{(UC*)&amp;Hydro_capa.SWRT_Delta_E_x10,					2*1},	// 224	0E0h	</v>
      </c>
    </row>
    <row r="30" spans="1:16">
      <c r="A30" s="19"/>
      <c r="B30" s="19" t="s">
        <v>37</v>
      </c>
      <c r="C30" s="19">
        <v>1</v>
      </c>
      <c r="D30" s="19">
        <v>1</v>
      </c>
      <c r="E30" s="20"/>
      <c r="F30" s="20"/>
      <c r="G30" s="19"/>
      <c r="H30" s="19"/>
      <c r="I30" s="10" t="e" cm="1">
        <f t="array" aca="1" ref="I30" ca="1">IF(isEmptyRow,"",F_code)</f>
        <v>#N/A</v>
      </c>
      <c r="J30" s="10" cm="1">
        <f t="array" aca="1" ref="J30" ca="1">IF(isEmptyRow,"",INDIRECT("C"&amp;ROW())*INDIRECT("D"&amp;ROW()))</f>
        <v>1</v>
      </c>
      <c r="K30" s="10" cm="1">
        <f t="array" aca="1" ref="K30" ca="1">IF(isEmptyRow,"",J30*2)</f>
        <v>2</v>
      </c>
      <c r="L30" s="10" cm="1">
        <f t="array" aca="1" ref="L30" ca="1">IF(isEmptyRow,"",F_offset)</f>
        <v>228</v>
      </c>
      <c r="M30" s="11" t="str" cm="1">
        <f t="array" aca="1" ref="M30" ca="1">IF(isEmptyRow,"",F_address)</f>
        <v>0E4</v>
      </c>
      <c r="N30" s="15" cm="1">
        <f t="array" aca="1" ref="N30" ca="1">F_残</f>
        <v>18</v>
      </c>
      <c r="P30" t="str" cm="1">
        <f t="array" aca="1" ref="P30" ca="1">IF(isDataRow,テーブル定義コード_データ行,IF(isTermRow,テーブル定義コード_番兵行,IF(isCloseRow,テーブル定義コード_最終行,"")))</f>
        <v xml:space="preserve">	{(UC*)&amp;Hydro_capa.T10s_Hydro_Rn_adj,				1*1},	// 228	0E4h	</v>
      </c>
    </row>
    <row r="31" spans="1:16">
      <c r="A31" s="19"/>
      <c r="B31" s="19" t="s">
        <v>38</v>
      </c>
      <c r="C31" s="19">
        <v>1</v>
      </c>
      <c r="D31" s="19">
        <v>1</v>
      </c>
      <c r="E31" s="20"/>
      <c r="F31" s="20"/>
      <c r="G31" s="19"/>
      <c r="H31" s="19"/>
      <c r="I31" s="10" t="e" cm="1">
        <f t="array" aca="1" ref="I31" ca="1">IF(isEmptyRow,"",F_code)</f>
        <v>#N/A</v>
      </c>
      <c r="J31" s="10" cm="1">
        <f t="array" aca="1" ref="J31" ca="1">IF(isEmptyRow,"",INDIRECT("C"&amp;ROW())*INDIRECT("D"&amp;ROW()))</f>
        <v>1</v>
      </c>
      <c r="K31" s="10" cm="1">
        <f t="array" aca="1" ref="K31" ca="1">IF(isEmptyRow,"",J31*2)</f>
        <v>2</v>
      </c>
      <c r="L31" s="10" cm="1">
        <f t="array" aca="1" ref="L31" ca="1">IF(isEmptyRow,"",F_offset)</f>
        <v>230</v>
      </c>
      <c r="M31" s="11" t="str" cm="1">
        <f t="array" aca="1" ref="M31" ca="1">IF(isEmptyRow,"",F_address)</f>
        <v>0E6</v>
      </c>
      <c r="N31" s="15" cm="1">
        <f t="array" aca="1" ref="N31" ca="1">F_残</f>
        <v>16</v>
      </c>
      <c r="P31" t="str" cm="1">
        <f t="array" aca="1" ref="P31" ca="1">IF(isDataRow,テーブル定義コード_データ行,IF(isTermRow,テーブル定義コード_番兵行,IF(isCloseRow,テーブル定義コード_最終行,"")))</f>
        <v xml:space="preserve">	{(UC*)&amp;Hydro_capa.T1m_Keep_Ro,						1*1},	// 230	0E6h	</v>
      </c>
    </row>
    <row r="32" spans="1:16">
      <c r="A32" s="19"/>
      <c r="B32" s="19" t="s">
        <v>39</v>
      </c>
      <c r="C32" s="19">
        <v>1</v>
      </c>
      <c r="D32" s="19">
        <v>1</v>
      </c>
      <c r="E32" s="20"/>
      <c r="F32" s="20"/>
      <c r="G32" s="19"/>
      <c r="H32" s="19" t="s">
        <v>333</v>
      </c>
      <c r="I32" s="10" t="e" cm="1">
        <f t="array" aca="1" ref="I32" ca="1">IF(isEmptyRow,"",F_code)</f>
        <v>#N/A</v>
      </c>
      <c r="J32" s="10" cm="1">
        <f t="array" aca="1" ref="J32" ca="1">IF(isEmptyRow,"",INDIRECT("C"&amp;ROW())*INDIRECT("D"&amp;ROW()))</f>
        <v>1</v>
      </c>
      <c r="K32" s="10" cm="1">
        <f t="array" aca="1" ref="K32" ca="1">IF(isEmptyRow,"",J32*2)</f>
        <v>2</v>
      </c>
      <c r="L32" s="10" cm="1">
        <f t="array" aca="1" ref="L32" ca="1">IF(isEmptyRow,"",F_offset)</f>
        <v>232</v>
      </c>
      <c r="M32" s="11" t="str" cm="1">
        <f t="array" aca="1" ref="M32" ca="1">IF(isEmptyRow,"",F_address)</f>
        <v>0E8</v>
      </c>
      <c r="N32" s="15" cm="1">
        <f t="array" aca="1" ref="N32" ca="1">F_残</f>
        <v>14</v>
      </c>
      <c r="P32" t="str" cm="1">
        <f t="array" aca="1" ref="P32" ca="1">IF(isDataRow,テーブル定義コード_データ行,IF(isTermRow,テーブル定義コード_番兵行,IF(isCloseRow,テーブル定義コード_最終行,"")))</f>
        <v xml:space="preserve">	{(UC*)&amp;RxdSourceCode[1],							1*1},	// 232	0E8h	SUBMCU SourceNo_H</v>
      </c>
    </row>
    <row r="33" spans="1:16">
      <c r="A33" s="19"/>
      <c r="B33" s="19" t="s">
        <v>40</v>
      </c>
      <c r="C33" s="19">
        <v>1</v>
      </c>
      <c r="D33" s="19">
        <v>1</v>
      </c>
      <c r="E33" s="20"/>
      <c r="F33" s="20"/>
      <c r="G33" s="19"/>
      <c r="H33" s="19" t="s">
        <v>334</v>
      </c>
      <c r="I33" s="10" t="e" cm="1">
        <f t="array" aca="1" ref="I33" ca="1">IF(isEmptyRow,"",F_code)</f>
        <v>#N/A</v>
      </c>
      <c r="J33" s="10" cm="1">
        <f t="array" aca="1" ref="J33" ca="1">IF(isEmptyRow,"",INDIRECT("C"&amp;ROW())*INDIRECT("D"&amp;ROW()))</f>
        <v>1</v>
      </c>
      <c r="K33" s="10" cm="1">
        <f t="array" aca="1" ref="K33" ca="1">IF(isEmptyRow,"",J33*2)</f>
        <v>2</v>
      </c>
      <c r="L33" s="10" cm="1">
        <f t="array" aca="1" ref="L33" ca="1">IF(isEmptyRow,"",F_offset)</f>
        <v>234</v>
      </c>
      <c r="M33" s="11" t="str" cm="1">
        <f t="array" aca="1" ref="M33" ca="1">IF(isEmptyRow,"",F_address)</f>
        <v>0EA</v>
      </c>
      <c r="N33" s="15" cm="1">
        <f t="array" aca="1" ref="N33" ca="1">F_残</f>
        <v>12</v>
      </c>
      <c r="P33" t="str" cm="1">
        <f t="array" aca="1" ref="P33" ca="1">IF(isDataRow,テーブル定義コード_データ行,IF(isTermRow,テーブル定義コード_番兵行,IF(isCloseRow,テーブル定義コード_最終行,"")))</f>
        <v xml:space="preserve">	{(UC*)&amp;RxdSourceCode[0],							1*1},	// 234	0EAh	SUBMCU SourceNo_L</v>
      </c>
    </row>
    <row r="34" spans="1:16">
      <c r="A34" s="19"/>
      <c r="B34" s="19" t="s">
        <v>41</v>
      </c>
      <c r="C34" s="19">
        <v>2</v>
      </c>
      <c r="D34" s="19">
        <v>1</v>
      </c>
      <c r="E34" s="20"/>
      <c r="F34" s="20"/>
      <c r="G34" s="19"/>
      <c r="H34" s="19" t="s">
        <v>335</v>
      </c>
      <c r="I34" s="10" t="e" cm="1">
        <f t="array" aca="1" ref="I34" ca="1">IF(isEmptyRow,"",F_code)</f>
        <v>#N/A</v>
      </c>
      <c r="J34" s="10" cm="1">
        <f t="array" aca="1" ref="J34" ca="1">IF(isEmptyRow,"",INDIRECT("C"&amp;ROW())*INDIRECT("D"&amp;ROW()))</f>
        <v>2</v>
      </c>
      <c r="K34" s="10" cm="1">
        <f t="array" aca="1" ref="K34" ca="1">IF(isEmptyRow,"",J34*2)</f>
        <v>4</v>
      </c>
      <c r="L34" s="10" cm="1">
        <f t="array" aca="1" ref="L34" ca="1">IF(isEmptyRow,"",F_offset)</f>
        <v>236</v>
      </c>
      <c r="M34" s="11" t="str" cm="1">
        <f t="array" aca="1" ref="M34" ca="1">IF(isEmptyRow,"",F_address)</f>
        <v>0EC</v>
      </c>
      <c r="N34" s="15" cm="1">
        <f t="array" aca="1" ref="N34" ca="1">F_残</f>
        <v>8</v>
      </c>
      <c r="P34" t="str" cm="1">
        <f t="array" aca="1" ref="P34" ca="1">IF(isDataRow,テーブル定義コード_データ行,IF(isTermRow,テーブル定義コード_番兵行,IF(isCloseRow,テーブル定義コード_最終行,"")))</f>
        <v xml:space="preserve">	{(UC*)&amp;RxdVerNo[0],									2*1},	// 236	0ECh	SUBMCU Ver</v>
      </c>
    </row>
    <row r="35" spans="1:16">
      <c r="A35" s="19"/>
      <c r="B35" s="19" t="s">
        <v>42</v>
      </c>
      <c r="C35" s="19">
        <v>1</v>
      </c>
      <c r="D35" s="19">
        <v>1</v>
      </c>
      <c r="E35" s="20"/>
      <c r="F35" s="20"/>
      <c r="G35" s="19"/>
      <c r="H35" s="19" t="s">
        <v>336</v>
      </c>
      <c r="I35" s="10" t="e" cm="1">
        <f t="array" aca="1" ref="I35" ca="1">IF(isEmptyRow,"",F_code)</f>
        <v>#N/A</v>
      </c>
      <c r="J35" s="10" cm="1">
        <f t="array" aca="1" ref="J35" ca="1">IF(isEmptyRow,"",INDIRECT("C"&amp;ROW())*INDIRECT("D"&amp;ROW()))</f>
        <v>1</v>
      </c>
      <c r="K35" s="10" cm="1">
        <f t="array" aca="1" ref="K35" ca="1">IF(isEmptyRow,"",J35*2)</f>
        <v>2</v>
      </c>
      <c r="L35" s="10" cm="1">
        <f t="array" aca="1" ref="L35" ca="1">IF(isEmptyRow,"",F_offset)</f>
        <v>240</v>
      </c>
      <c r="M35" s="11" t="str" cm="1">
        <f t="array" aca="1" ref="M35" ca="1">IF(isEmptyRow,"",F_address)</f>
        <v>0F0</v>
      </c>
      <c r="N35" s="15" cm="1">
        <f t="array" aca="1" ref="N35" ca="1">F_残</f>
        <v>6</v>
      </c>
      <c r="P35" t="str" cm="1">
        <f t="array" aca="1" ref="P35" ca="1">IF(isDataRow,テーブル定義コード_データ行,IF(isTermRow,テーブル定義コード_番兵行,IF(isCloseRow,テーブル定義コード_最終行,"")))</f>
        <v xml:space="preserve">	{(UC*)&amp;SWRT_SourceID_H,								1*1},	// 240	0F0h	SourceNo_H</v>
      </c>
    </row>
    <row r="36" spans="1:16">
      <c r="A36" s="19"/>
      <c r="B36" s="19" t="s">
        <v>43</v>
      </c>
      <c r="C36" s="19">
        <v>1</v>
      </c>
      <c r="D36" s="19">
        <v>1</v>
      </c>
      <c r="E36" s="20"/>
      <c r="F36" s="20"/>
      <c r="G36" s="19"/>
      <c r="H36" s="19" t="s">
        <v>337</v>
      </c>
      <c r="I36" s="10" t="e" cm="1">
        <f t="array" aca="1" ref="I36" ca="1">IF(isEmptyRow,"",F_code)</f>
        <v>#N/A</v>
      </c>
      <c r="J36" s="10" cm="1">
        <f t="array" aca="1" ref="J36" ca="1">IF(isEmptyRow,"",INDIRECT("C"&amp;ROW())*INDIRECT("D"&amp;ROW()))</f>
        <v>1</v>
      </c>
      <c r="K36" s="10" cm="1">
        <f t="array" aca="1" ref="K36" ca="1">IF(isEmptyRow,"",J36*2)</f>
        <v>2</v>
      </c>
      <c r="L36" s="10" cm="1">
        <f t="array" aca="1" ref="L36" ca="1">IF(isEmptyRow,"",F_offset)</f>
        <v>242</v>
      </c>
      <c r="M36" s="11" t="str" cm="1">
        <f t="array" aca="1" ref="M36" ca="1">IF(isEmptyRow,"",F_address)</f>
        <v>0F2</v>
      </c>
      <c r="N36" s="15" cm="1">
        <f t="array" aca="1" ref="N36" ca="1">F_残</f>
        <v>4</v>
      </c>
      <c r="P36" t="str" cm="1">
        <f t="array" aca="1" ref="P36" ca="1">IF(isDataRow,テーブル定義コード_データ行,IF(isTermRow,テーブル定義コード_番兵行,IF(isCloseRow,テーブル定義コード_最終行,"")))</f>
        <v xml:space="preserve">	{(UC*)&amp;SWRT_SourceID_L,								1*1},	// 242	0F2h	SourceNo_L</v>
      </c>
    </row>
    <row r="37" spans="1:16">
      <c r="A37" s="19"/>
      <c r="B37" s="19" t="s">
        <v>44</v>
      </c>
      <c r="C37" s="19">
        <v>2</v>
      </c>
      <c r="D37" s="19">
        <v>1</v>
      </c>
      <c r="E37" s="20"/>
      <c r="F37" s="20"/>
      <c r="G37" s="19"/>
      <c r="H37" s="19" t="s">
        <v>338</v>
      </c>
      <c r="I37" s="10" t="e" cm="1">
        <f t="array" aca="1" ref="I37" ca="1">IF(isEmptyRow,"",F_code)</f>
        <v>#N/A</v>
      </c>
      <c r="J37" s="10" cm="1">
        <f t="array" aca="1" ref="J37" ca="1">IF(isEmptyRow,"",INDIRECT("C"&amp;ROW())*INDIRECT("D"&amp;ROW()))</f>
        <v>2</v>
      </c>
      <c r="K37" s="10" cm="1">
        <f t="array" aca="1" ref="K37" ca="1">IF(isEmptyRow,"",J37*2)</f>
        <v>4</v>
      </c>
      <c r="L37" s="10" cm="1">
        <f t="array" aca="1" ref="L37" ca="1">IF(isEmptyRow,"",F_offset)</f>
        <v>244</v>
      </c>
      <c r="M37" s="11" t="str" cm="1">
        <f t="array" aca="1" ref="M37" ca="1">IF(isEmptyRow,"",F_address)</f>
        <v>0F4</v>
      </c>
      <c r="N37" s="15" cm="1">
        <f t="array" aca="1" ref="N37" ca="1">F_残</f>
        <v>0</v>
      </c>
      <c r="P37" t="str" cm="1">
        <f t="array" aca="1" ref="P37" ca="1">IF(isDataRow,テーブル定義コード_データ行,IF(isTermRow,テーブル定義コード_番兵行,IF(isCloseRow,テーブル定義コード_最終行,"")))</f>
        <v xml:space="preserve">	{(UC*)&amp;NextMMSVerNo,								2*1},	// 244	0F4h	Ver.x.xxx</v>
      </c>
    </row>
    <row r="38" spans="1:16">
      <c r="A38" s="19"/>
      <c r="B38" s="19"/>
      <c r="C38" s="19"/>
      <c r="D38" s="19"/>
      <c r="E38" s="20"/>
      <c r="F38" s="20"/>
      <c r="G38" s="19"/>
      <c r="H38" s="19"/>
      <c r="I38" s="10" t="str" cm="1">
        <f t="array" aca="1" ref="I38" ca="1">IF(isEmptyRow,"",F_code)</f>
        <v/>
      </c>
      <c r="J38" s="10" t="str" cm="1">
        <f t="array" aca="1" ref="J38" ca="1">IF(isEmptyRow,"",INDIRECT("C"&amp;ROW())*INDIRECT("D"&amp;ROW()))</f>
        <v/>
      </c>
      <c r="K38" s="10" t="str" cm="1">
        <f t="array" aca="1" ref="K38" ca="1">IF(isEmptyRow,"",J38*2)</f>
        <v/>
      </c>
      <c r="L38" s="10" t="str" cm="1">
        <f t="array" aca="1" ref="L38" ca="1">IF(isEmptyRow,"",F_offset)</f>
        <v/>
      </c>
      <c r="M38" s="11" t="str" cm="1">
        <f t="array" aca="1" ref="M38" ca="1">IF(isEmptyRow,"",F_address)</f>
        <v/>
      </c>
      <c r="N38" s="15" cm="1">
        <f t="array" aca="1" ref="N38" ca="1">F_残</f>
        <v>0</v>
      </c>
      <c r="P38" t="str" cm="1">
        <f t="array" aca="1" ref="P38" ca="1">IF(isDataRow,テーブル定義コード_データ行,IF(isTermRow,テーブル定義コード_番兵行,IF(isCloseRow,テーブル定義コード_最終行,"")))</f>
        <v xml:space="preserve">	{0,0}</v>
      </c>
    </row>
    <row r="39" spans="1:16">
      <c r="A39" s="19"/>
      <c r="B39" s="19"/>
      <c r="C39" s="19"/>
      <c r="D39" s="19"/>
      <c r="E39" s="20"/>
      <c r="F39" s="20"/>
      <c r="G39" s="19"/>
      <c r="H39" s="19"/>
      <c r="I39" s="10" t="str" cm="1">
        <f t="array" aca="1" ref="I39" ca="1">IF(isEmptyRow,"",F_code)</f>
        <v/>
      </c>
      <c r="J39" s="10" t="str" cm="1">
        <f t="array" aca="1" ref="J39" ca="1">IF(isEmptyRow,"",INDIRECT("C"&amp;ROW())*INDIRECT("D"&amp;ROW()))</f>
        <v/>
      </c>
      <c r="K39" s="10" t="str" cm="1">
        <f t="array" aca="1" ref="K39" ca="1">IF(isEmptyRow,"",J39*2)</f>
        <v/>
      </c>
      <c r="L39" s="10" t="str" cm="1">
        <f t="array" aca="1" ref="L39" ca="1">IF(isEmptyRow,"",F_offset)</f>
        <v/>
      </c>
      <c r="M39" s="11" t="str" cm="1">
        <f t="array" aca="1" ref="M39" ca="1">IF(isEmptyRow,"",F_address)</f>
        <v/>
      </c>
      <c r="N39" s="15" cm="1">
        <f t="array" aca="1" ref="N39" ca="1">F_残</f>
        <v>0</v>
      </c>
      <c r="P39" t="str" cm="1">
        <f t="array" aca="1" ref="P39" ca="1">IF(isDataRow,テーブル定義コード_データ行,IF(isTermRow,テーブル定義コード_番兵行,IF(isCloseRow,テーブル定義コード_最終行,"")))</f>
        <v xml:space="preserve">};_x000D_
</v>
      </c>
    </row>
    <row r="40" spans="1:16">
      <c r="A40" s="19"/>
      <c r="B40" s="19"/>
      <c r="C40" s="19"/>
      <c r="D40" s="19"/>
      <c r="E40" s="20"/>
      <c r="F40" s="20"/>
      <c r="G40" s="19"/>
      <c r="H40" s="19"/>
      <c r="I40" s="10" t="str" cm="1">
        <f t="array" aca="1" ref="I40" ca="1">IF(isEmptyRow,"",F_code)</f>
        <v/>
      </c>
      <c r="J40" s="10" t="str" cm="1">
        <f t="array" aca="1" ref="J40" ca="1">IF(isEmptyRow,"",INDIRECT("C"&amp;ROW())*INDIRECT("D"&amp;ROW()))</f>
        <v/>
      </c>
      <c r="K40" s="10" t="str" cm="1">
        <f t="array" aca="1" ref="K40" ca="1">IF(isEmptyRow,"",J40*2)</f>
        <v/>
      </c>
      <c r="L40" s="10" t="str" cm="1">
        <f t="array" aca="1" ref="L40" ca="1">IF(isEmptyRow,"",F_offset)</f>
        <v/>
      </c>
      <c r="M40" s="11" t="str" cm="1">
        <f t="array" aca="1" ref="M40" ca="1">IF(isEmptyRow,"",F_address)</f>
        <v/>
      </c>
      <c r="N40" s="15" cm="1">
        <f t="array" aca="1" ref="N40" ca="1">F_残</f>
        <v>0</v>
      </c>
      <c r="P40" t="str" cm="1">
        <f t="array" aca="1" ref="P40" ca="1">IF(isDataRow,テーブル定義コード_データ行,IF(isTermRow,テーブル定義コード_番兵行,IF(isCloseRow,テーブル定義コード_最終行,"")))</f>
        <v/>
      </c>
    </row>
    <row r="41" spans="1:16">
      <c r="A41" s="19"/>
      <c r="B41" s="19"/>
      <c r="C41" s="19"/>
      <c r="D41" s="19"/>
      <c r="E41" s="20"/>
      <c r="F41" s="20"/>
      <c r="G41" s="19"/>
      <c r="H41" s="19"/>
      <c r="I41" s="10" t="str" cm="1">
        <f t="array" aca="1" ref="I41" ca="1">IF(isEmptyRow,"",F_code)</f>
        <v/>
      </c>
      <c r="J41" s="10" t="str" cm="1">
        <f t="array" aca="1" ref="J41" ca="1">IF(isEmptyRow,"",INDIRECT("C"&amp;ROW())*INDIRECT("D"&amp;ROW()))</f>
        <v/>
      </c>
      <c r="K41" s="10" t="str" cm="1">
        <f t="array" aca="1" ref="K41" ca="1">IF(isEmptyRow,"",J41*2)</f>
        <v/>
      </c>
      <c r="L41" s="10" t="str" cm="1">
        <f t="array" aca="1" ref="L41" ca="1">IF(isEmptyRow,"",F_offset)</f>
        <v/>
      </c>
      <c r="M41" s="11" t="str" cm="1">
        <f t="array" aca="1" ref="M41" ca="1">IF(isEmptyRow,"",F_address)</f>
        <v/>
      </c>
      <c r="N41" s="15" cm="1">
        <f t="array" aca="1" ref="N41" ca="1">F_残</f>
        <v>0</v>
      </c>
      <c r="P41" t="str" cm="1">
        <f t="array" aca="1" ref="P41" ca="1">IF(isDataRow,テーブル定義コード_データ行,IF(isTermRow,テーブル定義コード_番兵行,IF(isCloseRow,テーブル定義コード_最終行,"")))</f>
        <v/>
      </c>
    </row>
    <row r="42" spans="1:16">
      <c r="A42" s="19"/>
      <c r="B42" s="19"/>
      <c r="C42" s="19"/>
      <c r="D42" s="19"/>
      <c r="E42" s="20"/>
      <c r="F42" s="20"/>
      <c r="G42" s="19"/>
      <c r="H42" s="19"/>
      <c r="I42" s="10" t="str" cm="1">
        <f t="array" aca="1" ref="I42" ca="1">IF(isEmptyRow,"",F_code)</f>
        <v/>
      </c>
      <c r="J42" s="10" t="str" cm="1">
        <f t="array" aca="1" ref="J42" ca="1">IF(isEmptyRow,"",INDIRECT("C"&amp;ROW())*INDIRECT("D"&amp;ROW()))</f>
        <v/>
      </c>
      <c r="K42" s="10" t="str" cm="1">
        <f t="array" aca="1" ref="K42" ca="1">IF(isEmptyRow,"",J42*2)</f>
        <v/>
      </c>
      <c r="L42" s="10" t="str" cm="1">
        <f t="array" aca="1" ref="L42" ca="1">IF(isEmptyRow,"",F_offset)</f>
        <v/>
      </c>
      <c r="M42" s="11" t="str" cm="1">
        <f t="array" aca="1" ref="M42" ca="1">IF(isEmptyRow,"",F_address)</f>
        <v/>
      </c>
      <c r="N42" s="15" cm="1">
        <f t="array" aca="1" ref="N42" ca="1">F_残</f>
        <v>0</v>
      </c>
      <c r="P42" t="str" cm="1">
        <f t="array" aca="1" ref="P42" ca="1">IF(isDataRow,テーブル定義コード_データ行,IF(isTermRow,テーブル定義コード_番兵行,IF(isCloseRow,テーブル定義コード_最終行,"")))</f>
        <v/>
      </c>
    </row>
    <row r="43" spans="1:16">
      <c r="A43" s="19"/>
      <c r="B43" s="19"/>
      <c r="C43" s="19"/>
      <c r="D43" s="19"/>
      <c r="E43" s="20"/>
      <c r="F43" s="20"/>
      <c r="G43" s="19"/>
      <c r="H43" s="19"/>
      <c r="I43" s="10" t="str" cm="1">
        <f t="array" aca="1" ref="I43" ca="1">IF(isEmptyRow,"",F_code)</f>
        <v/>
      </c>
      <c r="J43" s="10" t="str" cm="1">
        <f t="array" aca="1" ref="J43" ca="1">IF(isEmptyRow,"",INDIRECT("C"&amp;ROW())*INDIRECT("D"&amp;ROW()))</f>
        <v/>
      </c>
      <c r="K43" s="10" t="str" cm="1">
        <f t="array" aca="1" ref="K43" ca="1">IF(isEmptyRow,"",J43*2)</f>
        <v/>
      </c>
      <c r="L43" s="10" t="str" cm="1">
        <f t="array" aca="1" ref="L43" ca="1">IF(isEmptyRow,"",F_offset)</f>
        <v/>
      </c>
      <c r="M43" s="11" t="str" cm="1">
        <f t="array" aca="1" ref="M43" ca="1">IF(isEmptyRow,"",F_address)</f>
        <v/>
      </c>
      <c r="N43" s="15" cm="1">
        <f t="array" aca="1" ref="N43" ca="1">F_残</f>
        <v>0</v>
      </c>
      <c r="P43" t="str" cm="1">
        <f t="array" aca="1" ref="P43" ca="1">IF(isDataRow,テーブル定義コード_データ行,IF(isTermRow,テーブル定義コード_番兵行,IF(isCloseRow,テーブル定義コード_最終行,"")))</f>
        <v/>
      </c>
    </row>
    <row r="44" spans="1:16">
      <c r="A44" s="19"/>
      <c r="B44" s="19"/>
      <c r="C44" s="19"/>
      <c r="D44" s="19"/>
      <c r="E44" s="20"/>
      <c r="F44" s="20"/>
      <c r="G44" s="19"/>
      <c r="H44" s="19"/>
      <c r="I44" s="10" t="str" cm="1">
        <f t="array" aca="1" ref="I44" ca="1">IF(isEmptyRow,"",F_code)</f>
        <v/>
      </c>
      <c r="J44" s="10" t="str" cm="1">
        <f t="array" aca="1" ref="J44" ca="1">IF(isEmptyRow,"",INDIRECT("C"&amp;ROW())*INDIRECT("D"&amp;ROW()))</f>
        <v/>
      </c>
      <c r="K44" s="10" t="str" cm="1">
        <f t="array" aca="1" ref="K44" ca="1">IF(isEmptyRow,"",J44*2)</f>
        <v/>
      </c>
      <c r="L44" s="10" t="str" cm="1">
        <f t="array" aca="1" ref="L44" ca="1">IF(isEmptyRow,"",F_offset)</f>
        <v/>
      </c>
      <c r="M44" s="11" t="str" cm="1">
        <f t="array" aca="1" ref="M44" ca="1">IF(isEmptyRow,"",F_address)</f>
        <v/>
      </c>
      <c r="N44" s="15" cm="1">
        <f t="array" aca="1" ref="N44" ca="1">F_残</f>
        <v>0</v>
      </c>
      <c r="P44" t="str" cm="1">
        <f t="array" aca="1" ref="P44" ca="1">IF(isDataRow,テーブル定義コード_データ行,IF(isTermRow,テーブル定義コード_番兵行,IF(isCloseRow,テーブル定義コード_最終行,"")))</f>
        <v/>
      </c>
    </row>
    <row r="45" spans="1:16">
      <c r="A45" s="19"/>
      <c r="B45" s="19"/>
      <c r="C45" s="19"/>
      <c r="D45" s="19"/>
      <c r="E45" s="20"/>
      <c r="F45" s="20"/>
      <c r="G45" s="19"/>
      <c r="H45" s="19"/>
      <c r="I45" s="10" t="str" cm="1">
        <f t="array" aca="1" ref="I45" ca="1">IF(isEmptyRow,"",F_code)</f>
        <v/>
      </c>
      <c r="J45" s="10" t="str" cm="1">
        <f t="array" aca="1" ref="J45" ca="1">IF(isEmptyRow,"",INDIRECT("C"&amp;ROW())*INDIRECT("D"&amp;ROW()))</f>
        <v/>
      </c>
      <c r="K45" s="10" t="str" cm="1">
        <f t="array" aca="1" ref="K45" ca="1">IF(isEmptyRow,"",J45*2)</f>
        <v/>
      </c>
      <c r="L45" s="10" t="str" cm="1">
        <f t="array" aca="1" ref="L45" ca="1">IF(isEmptyRow,"",F_offset)</f>
        <v/>
      </c>
      <c r="M45" s="11" t="str" cm="1">
        <f t="array" aca="1" ref="M45" ca="1">IF(isEmptyRow,"",F_address)</f>
        <v/>
      </c>
      <c r="N45" s="15" cm="1">
        <f t="array" aca="1" ref="N45" ca="1">F_残</f>
        <v>0</v>
      </c>
      <c r="P45" t="str" cm="1">
        <f t="array" aca="1" ref="P45" ca="1">IF(isDataRow,テーブル定義コード_データ行,IF(isTermRow,テーブル定義コード_番兵行,IF(isCloseRow,テーブル定義コード_最終行,"")))</f>
        <v/>
      </c>
    </row>
    <row r="46" spans="1:16">
      <c r="A46" s="19"/>
      <c r="B46" s="19"/>
      <c r="C46" s="19"/>
      <c r="D46" s="19"/>
      <c r="E46" s="20"/>
      <c r="F46" s="20"/>
      <c r="G46" s="19"/>
      <c r="H46" s="19"/>
      <c r="I46" s="10" t="str" cm="1">
        <f t="array" aca="1" ref="I46" ca="1">IF(isEmptyRow,"",F_code)</f>
        <v/>
      </c>
      <c r="J46" s="10" t="str" cm="1">
        <f t="array" aca="1" ref="J46" ca="1">IF(isEmptyRow,"",INDIRECT("C"&amp;ROW())*INDIRECT("D"&amp;ROW()))</f>
        <v/>
      </c>
      <c r="K46" s="10" t="str" cm="1">
        <f t="array" aca="1" ref="K46" ca="1">IF(isEmptyRow,"",J46*2)</f>
        <v/>
      </c>
      <c r="L46" s="10" t="str" cm="1">
        <f t="array" aca="1" ref="L46" ca="1">IF(isEmptyRow,"",F_offset)</f>
        <v/>
      </c>
      <c r="M46" s="11" t="str" cm="1">
        <f t="array" aca="1" ref="M46" ca="1">IF(isEmptyRow,"",F_address)</f>
        <v/>
      </c>
      <c r="N46" s="15" cm="1">
        <f t="array" aca="1" ref="N46" ca="1">F_残</f>
        <v>0</v>
      </c>
      <c r="P46" t="str" cm="1">
        <f t="array" aca="1" ref="P46" ca="1">IF(isDataRow,テーブル定義コード_データ行,IF(isTermRow,テーブル定義コード_番兵行,IF(isCloseRow,テーブル定義コード_最終行,"")))</f>
        <v/>
      </c>
    </row>
    <row r="47" spans="1:16">
      <c r="A47" s="19"/>
      <c r="B47" s="19"/>
      <c r="C47" s="19"/>
      <c r="D47" s="19"/>
      <c r="E47" s="20"/>
      <c r="F47" s="20"/>
      <c r="G47" s="19"/>
      <c r="H47" s="19"/>
      <c r="I47" s="10" t="str" cm="1">
        <f t="array" aca="1" ref="I47" ca="1">IF(isEmptyRow,"",F_code)</f>
        <v/>
      </c>
      <c r="J47" s="10" t="str" cm="1">
        <f t="array" aca="1" ref="J47" ca="1">IF(isEmptyRow,"",INDIRECT("C"&amp;ROW())*INDIRECT("D"&amp;ROW()))</f>
        <v/>
      </c>
      <c r="K47" s="10" t="str" cm="1">
        <f t="array" aca="1" ref="K47" ca="1">IF(isEmptyRow,"",J47*2)</f>
        <v/>
      </c>
      <c r="L47" s="10" t="str" cm="1">
        <f t="array" aca="1" ref="L47" ca="1">IF(isEmptyRow,"",F_offset)</f>
        <v/>
      </c>
      <c r="M47" s="11" t="str" cm="1">
        <f t="array" aca="1" ref="M47" ca="1">IF(isEmptyRow,"",F_address)</f>
        <v/>
      </c>
      <c r="N47" s="15" cm="1">
        <f t="array" aca="1" ref="N47" ca="1">F_残</f>
        <v>0</v>
      </c>
      <c r="P47" t="str" cm="1">
        <f t="array" aca="1" ref="P47" ca="1">IF(isDataRow,テーブル定義コード_データ行,IF(isTermRow,テーブル定義コード_番兵行,IF(isCloseRow,テーブル定義コード_最終行,"")))</f>
        <v/>
      </c>
    </row>
    <row r="48" spans="1:16">
      <c r="A48" s="19"/>
      <c r="B48" s="19"/>
      <c r="C48" s="19"/>
      <c r="D48" s="19"/>
      <c r="E48" s="20"/>
      <c r="F48" s="20"/>
      <c r="G48" s="19"/>
      <c r="H48" s="19"/>
      <c r="I48" s="10" t="str" cm="1">
        <f t="array" aca="1" ref="I48" ca="1">IF(isEmptyRow,"",F_code)</f>
        <v/>
      </c>
      <c r="J48" s="10" t="str" cm="1">
        <f t="array" aca="1" ref="J48" ca="1">IF(isEmptyRow,"",INDIRECT("C"&amp;ROW())*INDIRECT("D"&amp;ROW()))</f>
        <v/>
      </c>
      <c r="K48" s="10" t="str" cm="1">
        <f t="array" aca="1" ref="K48" ca="1">IF(isEmptyRow,"",J48*2)</f>
        <v/>
      </c>
      <c r="L48" s="10" t="str" cm="1">
        <f t="array" aca="1" ref="L48" ca="1">IF(isEmptyRow,"",F_offset)</f>
        <v/>
      </c>
      <c r="M48" s="11" t="str" cm="1">
        <f t="array" aca="1" ref="M48" ca="1">IF(isEmptyRow,"",F_address)</f>
        <v/>
      </c>
      <c r="N48" s="15" cm="1">
        <f t="array" aca="1" ref="N48" ca="1">F_残</f>
        <v>0</v>
      </c>
      <c r="P48" t="str" cm="1">
        <f t="array" aca="1" ref="P48" ca="1">IF(isDataRow,テーブル定義コード_データ行,IF(isTermRow,テーブル定義コード_番兵行,IF(isCloseRow,テーブル定義コード_最終行,"")))</f>
        <v/>
      </c>
    </row>
    <row r="49" spans="1:16">
      <c r="A49" s="19"/>
      <c r="B49" s="19"/>
      <c r="C49" s="19"/>
      <c r="D49" s="19"/>
      <c r="E49" s="20"/>
      <c r="F49" s="20"/>
      <c r="G49" s="19"/>
      <c r="H49" s="19"/>
      <c r="I49" s="10" t="str" cm="1">
        <f t="array" aca="1" ref="I49" ca="1">IF(isEmptyRow,"",F_code)</f>
        <v/>
      </c>
      <c r="J49" s="10" t="str" cm="1">
        <f t="array" aca="1" ref="J49" ca="1">IF(isEmptyRow,"",INDIRECT("C"&amp;ROW())*INDIRECT("D"&amp;ROW()))</f>
        <v/>
      </c>
      <c r="K49" s="10" t="str" cm="1">
        <f t="array" aca="1" ref="K49" ca="1">IF(isEmptyRow,"",J49*2)</f>
        <v/>
      </c>
      <c r="L49" s="10" t="str" cm="1">
        <f t="array" aca="1" ref="L49" ca="1">IF(isEmptyRow,"",F_offset)</f>
        <v/>
      </c>
      <c r="M49" s="11" t="str" cm="1">
        <f t="array" aca="1" ref="M49" ca="1">IF(isEmptyRow,"",F_address)</f>
        <v/>
      </c>
      <c r="N49" s="15" cm="1">
        <f t="array" aca="1" ref="N49" ca="1">F_残</f>
        <v>0</v>
      </c>
      <c r="P49" t="str" cm="1">
        <f t="array" aca="1" ref="P49" ca="1">IF(isDataRow,テーブル定義コード_データ行,IF(isTermRow,テーブル定義コード_番兵行,IF(isCloseRow,テーブル定義コード_最終行,"")))</f>
        <v/>
      </c>
    </row>
    <row r="50" spans="1:16">
      <c r="A50" s="19"/>
      <c r="B50" s="19"/>
      <c r="C50" s="19"/>
      <c r="D50" s="19"/>
      <c r="E50" s="20"/>
      <c r="F50" s="20"/>
      <c r="G50" s="19"/>
      <c r="H50" s="19"/>
      <c r="I50" s="10" t="str" cm="1">
        <f t="array" aca="1" ref="I50" ca="1">IF(isEmptyRow,"",F_code)</f>
        <v/>
      </c>
      <c r="J50" s="10" t="str" cm="1">
        <f t="array" aca="1" ref="J50" ca="1">IF(isEmptyRow,"",INDIRECT("C"&amp;ROW())*INDIRECT("D"&amp;ROW()))</f>
        <v/>
      </c>
      <c r="K50" s="10" t="str" cm="1">
        <f t="array" aca="1" ref="K50" ca="1">IF(isEmptyRow,"",J50*2)</f>
        <v/>
      </c>
      <c r="L50" s="10" t="str" cm="1">
        <f t="array" aca="1" ref="L50" ca="1">IF(isEmptyRow,"",F_offset)</f>
        <v/>
      </c>
      <c r="M50" s="11" t="str" cm="1">
        <f t="array" aca="1" ref="M50" ca="1">IF(isEmptyRow,"",F_address)</f>
        <v/>
      </c>
      <c r="N50" s="15" cm="1">
        <f t="array" aca="1" ref="N50" ca="1">F_残</f>
        <v>0</v>
      </c>
      <c r="P50" t="str" cm="1">
        <f t="array" aca="1" ref="P50" ca="1">IF(isDataRow,テーブル定義コード_データ行,IF(isTermRow,テーブル定義コード_番兵行,IF(isCloseRow,テーブル定義コード_最終行,"")))</f>
        <v/>
      </c>
    </row>
    <row r="51" spans="1:16">
      <c r="A51" s="19"/>
      <c r="B51" s="19"/>
      <c r="C51" s="19"/>
      <c r="D51" s="19"/>
      <c r="E51" s="20"/>
      <c r="F51" s="20"/>
      <c r="G51" s="19"/>
      <c r="H51" s="19"/>
      <c r="I51" s="10" t="str" cm="1">
        <f t="array" aca="1" ref="I51" ca="1">IF(isEmptyRow,"",F_code)</f>
        <v/>
      </c>
      <c r="J51" s="10" t="str" cm="1">
        <f t="array" aca="1" ref="J51" ca="1">IF(isEmptyRow,"",INDIRECT("C"&amp;ROW())*INDIRECT("D"&amp;ROW()))</f>
        <v/>
      </c>
      <c r="K51" s="10" t="str" cm="1">
        <f t="array" aca="1" ref="K51" ca="1">IF(isEmptyRow,"",J51*2)</f>
        <v/>
      </c>
      <c r="L51" s="10" t="str" cm="1">
        <f t="array" aca="1" ref="L51" ca="1">IF(isEmptyRow,"",F_offset)</f>
        <v/>
      </c>
      <c r="M51" s="11" t="str" cm="1">
        <f t="array" aca="1" ref="M51" ca="1">IF(isEmptyRow,"",F_address)</f>
        <v/>
      </c>
      <c r="N51" s="15" cm="1">
        <f t="array" aca="1" ref="N51" ca="1">F_残</f>
        <v>0</v>
      </c>
      <c r="P51" t="str" cm="1">
        <f t="array" aca="1" ref="P51" ca="1">IF(isDataRow,テーブル定義コード_データ行,IF(isTermRow,テーブル定義コード_番兵行,IF(isCloseRow,テーブル定義コード_最終行,"")))</f>
        <v/>
      </c>
    </row>
    <row r="52" spans="1:16">
      <c r="A52" s="19"/>
      <c r="B52" s="19"/>
      <c r="C52" s="19"/>
      <c r="D52" s="19"/>
      <c r="E52" s="20"/>
      <c r="F52" s="20"/>
      <c r="G52" s="19"/>
      <c r="H52" s="19"/>
      <c r="I52" s="10" t="str" cm="1">
        <f t="array" aca="1" ref="I52" ca="1">IF(isEmptyRow,"",F_code)</f>
        <v/>
      </c>
      <c r="J52" s="10" t="str" cm="1">
        <f t="array" aca="1" ref="J52" ca="1">IF(isEmptyRow,"",INDIRECT("C"&amp;ROW())*INDIRECT("D"&amp;ROW()))</f>
        <v/>
      </c>
      <c r="K52" s="10" t="str" cm="1">
        <f t="array" aca="1" ref="K52" ca="1">IF(isEmptyRow,"",J52*2)</f>
        <v/>
      </c>
      <c r="L52" s="10" t="str" cm="1">
        <f t="array" aca="1" ref="L52" ca="1">IF(isEmptyRow,"",F_offset)</f>
        <v/>
      </c>
      <c r="M52" s="11" t="str" cm="1">
        <f t="array" aca="1" ref="M52" ca="1">IF(isEmptyRow,"",F_address)</f>
        <v/>
      </c>
      <c r="N52" s="15" cm="1">
        <f t="array" aca="1" ref="N52" ca="1">F_残</f>
        <v>0</v>
      </c>
      <c r="P52" t="str" cm="1">
        <f t="array" aca="1" ref="P52" ca="1">IF(isDataRow,テーブル定義コード_データ行,IF(isTermRow,テーブル定義コード_番兵行,IF(isCloseRow,テーブル定義コード_最終行,"")))</f>
        <v/>
      </c>
    </row>
    <row r="53" spans="1:16">
      <c r="A53" s="19"/>
      <c r="B53" s="19"/>
      <c r="C53" s="19"/>
      <c r="D53" s="19"/>
      <c r="E53" s="20"/>
      <c r="F53" s="20"/>
      <c r="G53" s="19"/>
      <c r="H53" s="19"/>
      <c r="I53" s="10" t="str" cm="1">
        <f t="array" aca="1" ref="I53" ca="1">IF(isEmptyRow,"",F_code)</f>
        <v/>
      </c>
      <c r="J53" s="10" t="str" cm="1">
        <f t="array" aca="1" ref="J53" ca="1">IF(isEmptyRow,"",INDIRECT("C"&amp;ROW())*INDIRECT("D"&amp;ROW()))</f>
        <v/>
      </c>
      <c r="K53" s="10" t="str" cm="1">
        <f t="array" aca="1" ref="K53" ca="1">IF(isEmptyRow,"",J53*2)</f>
        <v/>
      </c>
      <c r="L53" s="10" t="str" cm="1">
        <f t="array" aca="1" ref="L53" ca="1">IF(isEmptyRow,"",F_offset)</f>
        <v/>
      </c>
      <c r="M53" s="11" t="str" cm="1">
        <f t="array" aca="1" ref="M53" ca="1">IF(isEmptyRow,"",F_address)</f>
        <v/>
      </c>
      <c r="N53" s="15" cm="1">
        <f t="array" aca="1" ref="N53" ca="1">F_残</f>
        <v>0</v>
      </c>
      <c r="P53" t="str" cm="1">
        <f t="array" aca="1" ref="P53" ca="1">IF(isDataRow,テーブル定義コード_データ行,IF(isTermRow,テーブル定義コード_番兵行,IF(isCloseRow,テーブル定義コード_最終行,"")))</f>
        <v/>
      </c>
    </row>
    <row r="54" spans="1:16">
      <c r="A54" s="19"/>
      <c r="B54" s="19"/>
      <c r="C54" s="19"/>
      <c r="D54" s="19"/>
      <c r="E54" s="20"/>
      <c r="F54" s="20"/>
      <c r="G54" s="19"/>
      <c r="H54" s="19"/>
      <c r="I54" s="10" t="str" cm="1">
        <f t="array" aca="1" ref="I54" ca="1">IF(isEmptyRow,"",F_code)</f>
        <v/>
      </c>
      <c r="J54" s="10" t="str" cm="1">
        <f t="array" aca="1" ref="J54" ca="1">IF(isEmptyRow,"",INDIRECT("C"&amp;ROW())*INDIRECT("D"&amp;ROW()))</f>
        <v/>
      </c>
      <c r="K54" s="10" t="str" cm="1">
        <f t="array" aca="1" ref="K54" ca="1">IF(isEmptyRow,"",J54*2)</f>
        <v/>
      </c>
      <c r="L54" s="10" t="str" cm="1">
        <f t="array" aca="1" ref="L54" ca="1">IF(isEmptyRow,"",F_offset)</f>
        <v/>
      </c>
      <c r="M54" s="11" t="str" cm="1">
        <f t="array" aca="1" ref="M54" ca="1">IF(isEmptyRow,"",F_address)</f>
        <v/>
      </c>
      <c r="N54" s="15" cm="1">
        <f t="array" aca="1" ref="N54" ca="1">F_残</f>
        <v>0</v>
      </c>
      <c r="P54" t="str" cm="1">
        <f t="array" aca="1" ref="P54" ca="1">IF(isDataRow,テーブル定義コード_データ行,IF(isTermRow,テーブル定義コード_番兵行,IF(isCloseRow,テーブル定義コード_最終行,"")))</f>
        <v/>
      </c>
    </row>
    <row r="55" spans="1:16">
      <c r="A55" s="19"/>
      <c r="B55" s="19"/>
      <c r="C55" s="19"/>
      <c r="D55" s="19"/>
      <c r="E55" s="20"/>
      <c r="F55" s="20"/>
      <c r="G55" s="19"/>
      <c r="H55" s="19"/>
      <c r="I55" s="10" t="str" cm="1">
        <f t="array" aca="1" ref="I55" ca="1">IF(isEmptyRow,"",F_code)</f>
        <v/>
      </c>
      <c r="J55" s="10" t="str" cm="1">
        <f t="array" aca="1" ref="J55" ca="1">IF(isEmptyRow,"",INDIRECT("C"&amp;ROW())*INDIRECT("D"&amp;ROW()))</f>
        <v/>
      </c>
      <c r="K55" s="10" t="str" cm="1">
        <f t="array" aca="1" ref="K55" ca="1">IF(isEmptyRow,"",J55*2)</f>
        <v/>
      </c>
      <c r="L55" s="10" t="str" cm="1">
        <f t="array" aca="1" ref="L55" ca="1">IF(isEmptyRow,"",F_offset)</f>
        <v/>
      </c>
      <c r="M55" s="11" t="str" cm="1">
        <f t="array" aca="1" ref="M55" ca="1">IF(isEmptyRow,"",F_address)</f>
        <v/>
      </c>
      <c r="N55" s="15" cm="1">
        <f t="array" aca="1" ref="N55" ca="1">F_残</f>
        <v>0</v>
      </c>
      <c r="P55" t="str" cm="1">
        <f t="array" aca="1" ref="P55" ca="1">IF(isDataRow,テーブル定義コード_データ行,IF(isTermRow,テーブル定義コード_番兵行,IF(isCloseRow,テーブル定義コード_最終行,"")))</f>
        <v/>
      </c>
    </row>
    <row r="56" spans="1:16">
      <c r="A56" s="19"/>
      <c r="B56" s="19"/>
      <c r="C56" s="19"/>
      <c r="D56" s="19"/>
      <c r="E56" s="20"/>
      <c r="F56" s="20"/>
      <c r="G56" s="19"/>
      <c r="H56" s="19"/>
      <c r="I56" s="10" t="str" cm="1">
        <f t="array" aca="1" ref="I56" ca="1">IF(isEmptyRow,"",F_code)</f>
        <v/>
      </c>
      <c r="J56" s="10" t="str" cm="1">
        <f t="array" aca="1" ref="J56" ca="1">IF(isEmptyRow,"",INDIRECT("C"&amp;ROW())*INDIRECT("D"&amp;ROW()))</f>
        <v/>
      </c>
      <c r="K56" s="10" t="str" cm="1">
        <f t="array" aca="1" ref="K56" ca="1">IF(isEmptyRow,"",J56*2)</f>
        <v/>
      </c>
      <c r="L56" s="10" t="str" cm="1">
        <f t="array" aca="1" ref="L56" ca="1">IF(isEmptyRow,"",F_offset)</f>
        <v/>
      </c>
      <c r="M56" s="11" t="str" cm="1">
        <f t="array" aca="1" ref="M56" ca="1">IF(isEmptyRow,"",F_address)</f>
        <v/>
      </c>
      <c r="N56" s="15" cm="1">
        <f t="array" aca="1" ref="N56" ca="1">F_残</f>
        <v>0</v>
      </c>
      <c r="P56" t="str" cm="1">
        <f t="array" aca="1" ref="P56" ca="1">IF(isDataRow,テーブル定義コード_データ行,IF(isTermRow,テーブル定義コード_番兵行,IF(isCloseRow,テーブル定義コード_最終行,"")))</f>
        <v/>
      </c>
    </row>
    <row r="57" spans="1:16">
      <c r="A57" s="19"/>
      <c r="B57" s="19"/>
      <c r="C57" s="19"/>
      <c r="D57" s="19"/>
      <c r="E57" s="20"/>
      <c r="F57" s="20"/>
      <c r="G57" s="19"/>
      <c r="H57" s="19"/>
      <c r="I57" s="10" t="str" cm="1">
        <f t="array" aca="1" ref="I57" ca="1">IF(isEmptyRow,"",F_code)</f>
        <v/>
      </c>
      <c r="J57" s="10" t="str" cm="1">
        <f t="array" aca="1" ref="J57" ca="1">IF(isEmptyRow,"",INDIRECT("C"&amp;ROW())*INDIRECT("D"&amp;ROW()))</f>
        <v/>
      </c>
      <c r="K57" s="10" t="str" cm="1">
        <f t="array" aca="1" ref="K57" ca="1">IF(isEmptyRow,"",J57*2)</f>
        <v/>
      </c>
      <c r="L57" s="10" t="str" cm="1">
        <f t="array" aca="1" ref="L57" ca="1">IF(isEmptyRow,"",F_offset)</f>
        <v/>
      </c>
      <c r="M57" s="11" t="str" cm="1">
        <f t="array" aca="1" ref="M57" ca="1">IF(isEmptyRow,"",F_address)</f>
        <v/>
      </c>
      <c r="N57" s="15" cm="1">
        <f t="array" aca="1" ref="N57" ca="1">F_残</f>
        <v>0</v>
      </c>
      <c r="P57" t="str" cm="1">
        <f t="array" aca="1" ref="P57" ca="1">IF(isDataRow,テーブル定義コード_データ行,IF(isTermRow,テーブル定義コード_番兵行,IF(isCloseRow,テーブル定義コード_最終行,"")))</f>
        <v/>
      </c>
    </row>
    <row r="58" spans="1:16">
      <c r="A58" s="19"/>
      <c r="B58" s="19"/>
      <c r="C58" s="19"/>
      <c r="D58" s="19"/>
      <c r="E58" s="20"/>
      <c r="F58" s="20"/>
      <c r="G58" s="19"/>
      <c r="H58" s="19"/>
      <c r="I58" s="10" t="str" cm="1">
        <f t="array" aca="1" ref="I58" ca="1">IF(isEmptyRow,"",F_code)</f>
        <v/>
      </c>
      <c r="J58" s="10" t="str" cm="1">
        <f t="array" aca="1" ref="J58" ca="1">IF(isEmptyRow,"",INDIRECT("C"&amp;ROW())*INDIRECT("D"&amp;ROW()))</f>
        <v/>
      </c>
      <c r="K58" s="10" t="str" cm="1">
        <f t="array" aca="1" ref="K58" ca="1">IF(isEmptyRow,"",J58*2)</f>
        <v/>
      </c>
      <c r="L58" s="10" t="str" cm="1">
        <f t="array" aca="1" ref="L58" ca="1">IF(isEmptyRow,"",F_offset)</f>
        <v/>
      </c>
      <c r="M58" s="11" t="str" cm="1">
        <f t="array" aca="1" ref="M58" ca="1">IF(isEmptyRow,"",F_address)</f>
        <v/>
      </c>
      <c r="N58" s="15" cm="1">
        <f t="array" aca="1" ref="N58" ca="1">F_残</f>
        <v>0</v>
      </c>
      <c r="P58" t="str" cm="1">
        <f t="array" aca="1" ref="P58" ca="1">IF(isDataRow,テーブル定義コード_データ行,IF(isTermRow,テーブル定義コード_番兵行,IF(isCloseRow,テーブル定義コード_最終行,"")))</f>
        <v/>
      </c>
    </row>
    <row r="59" spans="1:16">
      <c r="A59" s="19"/>
      <c r="B59" s="19"/>
      <c r="C59" s="19"/>
      <c r="D59" s="19"/>
      <c r="E59" s="20"/>
      <c r="F59" s="20"/>
      <c r="G59" s="19"/>
      <c r="H59" s="19"/>
      <c r="I59" s="10" t="str" cm="1">
        <f t="array" aca="1" ref="I59" ca="1">IF(isEmptyRow,"",F_code)</f>
        <v/>
      </c>
      <c r="J59" s="10" t="str" cm="1">
        <f t="array" aca="1" ref="J59" ca="1">IF(isEmptyRow,"",INDIRECT("C"&amp;ROW())*INDIRECT("D"&amp;ROW()))</f>
        <v/>
      </c>
      <c r="K59" s="10" t="str" cm="1">
        <f t="array" aca="1" ref="K59" ca="1">IF(isEmptyRow,"",J59*2)</f>
        <v/>
      </c>
      <c r="L59" s="10" t="str" cm="1">
        <f t="array" aca="1" ref="L59" ca="1">IF(isEmptyRow,"",F_offset)</f>
        <v/>
      </c>
      <c r="M59" s="11" t="str" cm="1">
        <f t="array" aca="1" ref="M59" ca="1">IF(isEmptyRow,"",F_address)</f>
        <v/>
      </c>
      <c r="N59" s="15" cm="1">
        <f t="array" aca="1" ref="N59" ca="1">F_残</f>
        <v>0</v>
      </c>
      <c r="P59" t="str" cm="1">
        <f t="array" aca="1" ref="P59" ca="1">IF(isDataRow,テーブル定義コード_データ行,IF(isTermRow,テーブル定義コード_番兵行,IF(isCloseRow,テーブル定義コード_最終行,"")))</f>
        <v/>
      </c>
    </row>
    <row r="60" spans="1:16">
      <c r="A60" s="19"/>
      <c r="B60" s="19"/>
      <c r="C60" s="19"/>
      <c r="D60" s="19"/>
      <c r="E60" s="20"/>
      <c r="F60" s="20"/>
      <c r="G60" s="19"/>
      <c r="H60" s="19"/>
      <c r="I60" s="10" t="str" cm="1">
        <f t="array" aca="1" ref="I60" ca="1">IF(isEmptyRow,"",F_code)</f>
        <v/>
      </c>
      <c r="J60" s="10" t="str" cm="1">
        <f t="array" aca="1" ref="J60" ca="1">IF(isEmptyRow,"",INDIRECT("C"&amp;ROW())*INDIRECT("D"&amp;ROW()))</f>
        <v/>
      </c>
      <c r="K60" s="10" t="str" cm="1">
        <f t="array" aca="1" ref="K60" ca="1">IF(isEmptyRow,"",J60*2)</f>
        <v/>
      </c>
      <c r="L60" s="10" t="str" cm="1">
        <f t="array" aca="1" ref="L60" ca="1">IF(isEmptyRow,"",F_offset)</f>
        <v/>
      </c>
      <c r="M60" s="11" t="str" cm="1">
        <f t="array" aca="1" ref="M60" ca="1">IF(isEmptyRow,"",F_address)</f>
        <v/>
      </c>
      <c r="N60" s="15" cm="1">
        <f t="array" aca="1" ref="N60" ca="1">F_残</f>
        <v>0</v>
      </c>
      <c r="P60" t="str" cm="1">
        <f t="array" aca="1" ref="P60" ca="1">IF(isDataRow,テーブル定義コード_データ行,IF(isTermRow,テーブル定義コード_番兵行,IF(isCloseRow,テーブル定義コード_最終行,"")))</f>
        <v/>
      </c>
    </row>
    <row r="61" spans="1:16">
      <c r="A61" s="19"/>
      <c r="B61" s="19"/>
      <c r="C61" s="19"/>
      <c r="D61" s="19"/>
      <c r="E61" s="20"/>
      <c r="F61" s="20"/>
      <c r="G61" s="19"/>
      <c r="H61" s="19"/>
      <c r="I61" s="10" t="str" cm="1">
        <f t="array" aca="1" ref="I61" ca="1">IF(isEmptyRow,"",F_code)</f>
        <v/>
      </c>
      <c r="J61" s="10" t="str" cm="1">
        <f t="array" aca="1" ref="J61" ca="1">IF(isEmptyRow,"",INDIRECT("C"&amp;ROW())*INDIRECT("D"&amp;ROW()))</f>
        <v/>
      </c>
      <c r="K61" s="10" t="str" cm="1">
        <f t="array" aca="1" ref="K61" ca="1">IF(isEmptyRow,"",J61*2)</f>
        <v/>
      </c>
      <c r="L61" s="10" t="str" cm="1">
        <f t="array" aca="1" ref="L61" ca="1">IF(isEmptyRow,"",F_offset)</f>
        <v/>
      </c>
      <c r="M61" s="11" t="str" cm="1">
        <f t="array" aca="1" ref="M61" ca="1">IF(isEmptyRow,"",F_address)</f>
        <v/>
      </c>
      <c r="N61" s="15" cm="1">
        <f t="array" aca="1" ref="N61" ca="1">F_残</f>
        <v>0</v>
      </c>
      <c r="P61" t="str" cm="1">
        <f t="array" aca="1" ref="P61" ca="1">IF(isDataRow,テーブル定義コード_データ行,IF(isTermRow,テーブル定義コード_番兵行,IF(isCloseRow,テーブル定義コード_最終行,"")))</f>
        <v/>
      </c>
    </row>
    <row r="62" spans="1:16">
      <c r="A62" s="19"/>
      <c r="B62" s="19"/>
      <c r="C62" s="19"/>
      <c r="D62" s="19"/>
      <c r="E62" s="20"/>
      <c r="F62" s="20"/>
      <c r="G62" s="19"/>
      <c r="H62" s="19"/>
      <c r="I62" s="10" t="str" cm="1">
        <f t="array" aca="1" ref="I62" ca="1">IF(isEmptyRow,"",F_code)</f>
        <v/>
      </c>
      <c r="J62" s="10" t="str" cm="1">
        <f t="array" aca="1" ref="J62" ca="1">IF(isEmptyRow,"",INDIRECT("C"&amp;ROW())*INDIRECT("D"&amp;ROW()))</f>
        <v/>
      </c>
      <c r="K62" s="10" t="str" cm="1">
        <f t="array" aca="1" ref="K62" ca="1">IF(isEmptyRow,"",J62*2)</f>
        <v/>
      </c>
      <c r="L62" s="10" t="str" cm="1">
        <f t="array" aca="1" ref="L62" ca="1">IF(isEmptyRow,"",F_offset)</f>
        <v/>
      </c>
      <c r="M62" s="11" t="str" cm="1">
        <f t="array" aca="1" ref="M62" ca="1">IF(isEmptyRow,"",F_address)</f>
        <v/>
      </c>
      <c r="N62" s="15" cm="1">
        <f t="array" aca="1" ref="N62" ca="1">F_残</f>
        <v>0</v>
      </c>
      <c r="P62" t="str" cm="1">
        <f t="array" aca="1" ref="P62" ca="1">IF(isDataRow,テーブル定義コード_データ行,IF(isTermRow,テーブル定義コード_番兵行,IF(isCloseRow,テーブル定義コード_最終行,"")))</f>
        <v/>
      </c>
    </row>
    <row r="63" spans="1:16">
      <c r="A63" s="19"/>
      <c r="B63" s="19"/>
      <c r="C63" s="19"/>
      <c r="D63" s="19"/>
      <c r="E63" s="20"/>
      <c r="F63" s="20"/>
      <c r="G63" s="19"/>
      <c r="H63" s="19"/>
      <c r="I63" s="10" t="str" cm="1">
        <f t="array" aca="1" ref="I63" ca="1">IF(isEmptyRow,"",F_code)</f>
        <v/>
      </c>
      <c r="J63" s="10" t="str" cm="1">
        <f t="array" aca="1" ref="J63" ca="1">IF(isEmptyRow,"",INDIRECT("C"&amp;ROW())*INDIRECT("D"&amp;ROW()))</f>
        <v/>
      </c>
      <c r="K63" s="10" t="str" cm="1">
        <f t="array" aca="1" ref="K63" ca="1">IF(isEmptyRow,"",J63*2)</f>
        <v/>
      </c>
      <c r="L63" s="10" t="str" cm="1">
        <f t="array" aca="1" ref="L63" ca="1">IF(isEmptyRow,"",F_offset)</f>
        <v/>
      </c>
      <c r="M63" s="11" t="str" cm="1">
        <f t="array" aca="1" ref="M63" ca="1">IF(isEmptyRow,"",F_address)</f>
        <v/>
      </c>
      <c r="N63" s="15" cm="1">
        <f t="array" aca="1" ref="N63" ca="1">F_残</f>
        <v>0</v>
      </c>
      <c r="P63" t="str" cm="1">
        <f t="array" aca="1" ref="P63" ca="1">IF(isDataRow,テーブル定義コード_データ行,IF(isTermRow,テーブル定義コード_番兵行,IF(isCloseRow,テーブル定義コード_最終行,"")))</f>
        <v/>
      </c>
    </row>
    <row r="64" spans="1:16">
      <c r="A64" s="19"/>
      <c r="B64" s="19"/>
      <c r="C64" s="19"/>
      <c r="D64" s="19"/>
      <c r="E64" s="20"/>
      <c r="F64" s="20"/>
      <c r="G64" s="19"/>
      <c r="H64" s="19"/>
      <c r="I64" s="10" t="str" cm="1">
        <f t="array" aca="1" ref="I64" ca="1">IF(isEmptyRow,"",F_code)</f>
        <v/>
      </c>
      <c r="J64" s="10" t="str" cm="1">
        <f t="array" aca="1" ref="J64" ca="1">IF(isEmptyRow,"",INDIRECT("C"&amp;ROW())*INDIRECT("D"&amp;ROW()))</f>
        <v/>
      </c>
      <c r="K64" s="10" t="str" cm="1">
        <f t="array" aca="1" ref="K64" ca="1">IF(isEmptyRow,"",J64*2)</f>
        <v/>
      </c>
      <c r="L64" s="10" t="str" cm="1">
        <f t="array" aca="1" ref="L64" ca="1">IF(isEmptyRow,"",F_offset)</f>
        <v/>
      </c>
      <c r="M64" s="11" t="str" cm="1">
        <f t="array" aca="1" ref="M64" ca="1">IF(isEmptyRow,"",F_address)</f>
        <v/>
      </c>
      <c r="N64" s="15" cm="1">
        <f t="array" aca="1" ref="N64" ca="1">F_残</f>
        <v>0</v>
      </c>
      <c r="P64" t="str" cm="1">
        <f t="array" aca="1" ref="P64" ca="1">IF(isDataRow,テーブル定義コード_データ行,IF(isTermRow,テーブル定義コード_番兵行,IF(isCloseRow,テーブル定義コード_最終行,"")))</f>
        <v/>
      </c>
    </row>
    <row r="65" spans="1:16">
      <c r="A65" s="19"/>
      <c r="B65" s="19"/>
      <c r="C65" s="19"/>
      <c r="D65" s="19"/>
      <c r="E65" s="20"/>
      <c r="F65" s="20"/>
      <c r="G65" s="19"/>
      <c r="H65" s="19"/>
      <c r="I65" s="10" t="str" cm="1">
        <f t="array" aca="1" ref="I65" ca="1">IF(isEmptyRow,"",F_code)</f>
        <v/>
      </c>
      <c r="J65" s="10" t="str" cm="1">
        <f t="array" aca="1" ref="J65" ca="1">IF(isEmptyRow,"",INDIRECT("C"&amp;ROW())*INDIRECT("D"&amp;ROW()))</f>
        <v/>
      </c>
      <c r="K65" s="10" t="str" cm="1">
        <f t="array" aca="1" ref="K65" ca="1">IF(isEmptyRow,"",J65*2)</f>
        <v/>
      </c>
      <c r="L65" s="10" t="str" cm="1">
        <f t="array" aca="1" ref="L65" ca="1">IF(isEmptyRow,"",F_offset)</f>
        <v/>
      </c>
      <c r="M65" s="11" t="str" cm="1">
        <f t="array" aca="1" ref="M65" ca="1">IF(isEmptyRow,"",F_address)</f>
        <v/>
      </c>
      <c r="N65" s="15" cm="1">
        <f t="array" aca="1" ref="N65" ca="1">F_残</f>
        <v>0</v>
      </c>
      <c r="P65" t="str" cm="1">
        <f t="array" aca="1" ref="P65" ca="1">IF(isDataRow,テーブル定義コード_データ行,IF(isTermRow,テーブル定義コード_番兵行,IF(isCloseRow,テーブル定義コード_最終行,"")))</f>
        <v/>
      </c>
    </row>
    <row r="66" spans="1:16">
      <c r="A66" s="19"/>
      <c r="B66" s="19"/>
      <c r="C66" s="19"/>
      <c r="D66" s="19"/>
      <c r="E66" s="20"/>
      <c r="F66" s="20"/>
      <c r="G66" s="19"/>
      <c r="H66" s="19"/>
      <c r="I66" s="10" t="str" cm="1">
        <f t="array" aca="1" ref="I66" ca="1">IF(isEmptyRow,"",F_code)</f>
        <v/>
      </c>
      <c r="J66" s="10" t="str" cm="1">
        <f t="array" aca="1" ref="J66" ca="1">IF(isEmptyRow,"",INDIRECT("C"&amp;ROW())*INDIRECT("D"&amp;ROW()))</f>
        <v/>
      </c>
      <c r="K66" s="10" t="str" cm="1">
        <f t="array" aca="1" ref="K66" ca="1">IF(isEmptyRow,"",J66*2)</f>
        <v/>
      </c>
      <c r="L66" s="10" t="str" cm="1">
        <f t="array" aca="1" ref="L66" ca="1">IF(isEmptyRow,"",F_offset)</f>
        <v/>
      </c>
      <c r="M66" s="11" t="str" cm="1">
        <f t="array" aca="1" ref="M66" ca="1">IF(isEmptyRow,"",F_address)</f>
        <v/>
      </c>
      <c r="N66" s="15" cm="1">
        <f t="array" aca="1" ref="N66" ca="1">F_残</f>
        <v>0</v>
      </c>
      <c r="P66" t="str" cm="1">
        <f t="array" aca="1" ref="P66" ca="1">IF(isDataRow,テーブル定義コード_データ行,IF(isTermRow,テーブル定義コード_番兵行,IF(isCloseRow,テーブル定義コード_最終行,"")))</f>
        <v/>
      </c>
    </row>
    <row r="67" spans="1:16">
      <c r="A67" s="19"/>
      <c r="B67" s="19"/>
      <c r="C67" s="19"/>
      <c r="D67" s="19"/>
      <c r="E67" s="20"/>
      <c r="F67" s="20"/>
      <c r="G67" s="19"/>
      <c r="H67" s="19"/>
      <c r="I67" s="10" t="str" cm="1">
        <f t="array" aca="1" ref="I67" ca="1">IF(isEmptyRow,"",F_code)</f>
        <v/>
      </c>
      <c r="J67" s="10" t="str" cm="1">
        <f t="array" aca="1" ref="J67" ca="1">IF(isEmptyRow,"",INDIRECT("C"&amp;ROW())*INDIRECT("D"&amp;ROW()))</f>
        <v/>
      </c>
      <c r="K67" s="10" t="str" cm="1">
        <f t="array" aca="1" ref="K67" ca="1">IF(isEmptyRow,"",J67*2)</f>
        <v/>
      </c>
      <c r="L67" s="10" t="str" cm="1">
        <f t="array" aca="1" ref="L67" ca="1">IF(isEmptyRow,"",F_offset)</f>
        <v/>
      </c>
      <c r="M67" s="11" t="str" cm="1">
        <f t="array" aca="1" ref="M67" ca="1">IF(isEmptyRow,"",F_address)</f>
        <v/>
      </c>
      <c r="N67" s="15" cm="1">
        <f t="array" aca="1" ref="N67" ca="1">F_残</f>
        <v>0</v>
      </c>
      <c r="P67" t="str" cm="1">
        <f t="array" aca="1" ref="P67" ca="1">IF(isDataRow,テーブル定義コード_データ行,IF(isTermRow,テーブル定義コード_番兵行,IF(isCloseRow,テーブル定義コード_最終行,"")))</f>
        <v/>
      </c>
    </row>
    <row r="68" spans="1:16">
      <c r="A68" s="19"/>
      <c r="B68" s="19"/>
      <c r="C68" s="19"/>
      <c r="D68" s="19"/>
      <c r="E68" s="20"/>
      <c r="F68" s="20"/>
      <c r="G68" s="19"/>
      <c r="H68" s="19"/>
      <c r="I68" s="10" t="str" cm="1">
        <f t="array" aca="1" ref="I68" ca="1">IF(isEmptyRow,"",F_code)</f>
        <v/>
      </c>
      <c r="J68" s="10" t="str" cm="1">
        <f t="array" aca="1" ref="J68" ca="1">IF(isEmptyRow,"",INDIRECT("C"&amp;ROW())*INDIRECT("D"&amp;ROW()))</f>
        <v/>
      </c>
      <c r="K68" s="10" t="str" cm="1">
        <f t="array" aca="1" ref="K68" ca="1">IF(isEmptyRow,"",J68*2)</f>
        <v/>
      </c>
      <c r="L68" s="10" t="str" cm="1">
        <f t="array" aca="1" ref="L68" ca="1">IF(isEmptyRow,"",F_offset)</f>
        <v/>
      </c>
      <c r="M68" s="11" t="str" cm="1">
        <f t="array" aca="1" ref="M68" ca="1">IF(isEmptyRow,"",F_address)</f>
        <v/>
      </c>
      <c r="N68" s="15" cm="1">
        <f t="array" aca="1" ref="N68" ca="1">F_残</f>
        <v>0</v>
      </c>
      <c r="P68" t="str" cm="1">
        <f t="array" aca="1" ref="P68" ca="1">IF(isDataRow,テーブル定義コード_データ行,IF(isTermRow,テーブル定義コード_番兵行,IF(isCloseRow,テーブル定義コード_最終行,"")))</f>
        <v/>
      </c>
    </row>
    <row r="69" spans="1:16">
      <c r="A69" s="19"/>
      <c r="B69" s="19"/>
      <c r="C69" s="19"/>
      <c r="D69" s="19"/>
      <c r="E69" s="20"/>
      <c r="F69" s="20"/>
      <c r="G69" s="19"/>
      <c r="H69" s="19"/>
      <c r="I69" s="10" t="str" cm="1">
        <f t="array" aca="1" ref="I69" ca="1">IF(isEmptyRow,"",F_code)</f>
        <v/>
      </c>
      <c r="J69" s="10" t="str" cm="1">
        <f t="array" aca="1" ref="J69" ca="1">IF(isEmptyRow,"",INDIRECT("C"&amp;ROW())*INDIRECT("D"&amp;ROW()))</f>
        <v/>
      </c>
      <c r="K69" s="10" t="str" cm="1">
        <f t="array" aca="1" ref="K69" ca="1">IF(isEmptyRow,"",J69*2)</f>
        <v/>
      </c>
      <c r="L69" s="10" t="str" cm="1">
        <f t="array" aca="1" ref="L69" ca="1">IF(isEmptyRow,"",F_offset)</f>
        <v/>
      </c>
      <c r="M69" s="11" t="str" cm="1">
        <f t="array" aca="1" ref="M69" ca="1">IF(isEmptyRow,"",F_address)</f>
        <v/>
      </c>
      <c r="N69" s="15" cm="1">
        <f t="array" aca="1" ref="N69" ca="1">F_残</f>
        <v>0</v>
      </c>
      <c r="P69" t="str" cm="1">
        <f t="array" aca="1" ref="P69" ca="1">IF(isDataRow,テーブル定義コード_データ行,IF(isTermRow,テーブル定義コード_番兵行,IF(isCloseRow,テーブル定義コード_最終行,"")))</f>
        <v/>
      </c>
    </row>
    <row r="70" spans="1:16">
      <c r="A70" s="19"/>
      <c r="B70" s="19"/>
      <c r="C70" s="19"/>
      <c r="D70" s="19"/>
      <c r="E70" s="20"/>
      <c r="F70" s="20"/>
      <c r="G70" s="19"/>
      <c r="H70" s="19"/>
      <c r="I70" s="10" t="str" cm="1">
        <f t="array" aca="1" ref="I70" ca="1">IF(isEmptyRow,"",F_code)</f>
        <v/>
      </c>
      <c r="J70" s="10" t="str" cm="1">
        <f t="array" aca="1" ref="J70" ca="1">IF(isEmptyRow,"",INDIRECT("C"&amp;ROW())*INDIRECT("D"&amp;ROW()))</f>
        <v/>
      </c>
      <c r="K70" s="10" t="str" cm="1">
        <f t="array" aca="1" ref="K70" ca="1">IF(isEmptyRow,"",J70*2)</f>
        <v/>
      </c>
      <c r="L70" s="10" t="str" cm="1">
        <f t="array" aca="1" ref="L70" ca="1">IF(isEmptyRow,"",F_offset)</f>
        <v/>
      </c>
      <c r="M70" s="11" t="str" cm="1">
        <f t="array" aca="1" ref="M70" ca="1">IF(isEmptyRow,"",F_address)</f>
        <v/>
      </c>
      <c r="N70" s="15" cm="1">
        <f t="array" aca="1" ref="N70" ca="1">F_残</f>
        <v>0</v>
      </c>
      <c r="P70" t="str" cm="1">
        <f t="array" aca="1" ref="P70" ca="1">IF(isDataRow,テーブル定義コード_データ行,IF(isTermRow,テーブル定義コード_番兵行,IF(isCloseRow,テーブル定義コード_最終行,"")))</f>
        <v/>
      </c>
    </row>
    <row r="71" spans="1:16">
      <c r="A71" s="19"/>
      <c r="B71" s="19"/>
      <c r="C71" s="19"/>
      <c r="D71" s="19"/>
      <c r="E71" s="20"/>
      <c r="F71" s="20"/>
      <c r="G71" s="19"/>
      <c r="H71" s="19"/>
      <c r="I71" s="10" t="str" cm="1">
        <f t="array" aca="1" ref="I71" ca="1">IF(isEmptyRow,"",F_code)</f>
        <v/>
      </c>
      <c r="J71" s="10" t="str" cm="1">
        <f t="array" aca="1" ref="J71" ca="1">IF(isEmptyRow,"",INDIRECT("C"&amp;ROW())*INDIRECT("D"&amp;ROW()))</f>
        <v/>
      </c>
      <c r="K71" s="10" t="str" cm="1">
        <f t="array" aca="1" ref="K71" ca="1">IF(isEmptyRow,"",J71*2)</f>
        <v/>
      </c>
      <c r="L71" s="10" t="str" cm="1">
        <f t="array" aca="1" ref="L71" ca="1">IF(isEmptyRow,"",F_offset)</f>
        <v/>
      </c>
      <c r="M71" s="11" t="str" cm="1">
        <f t="array" aca="1" ref="M71" ca="1">IF(isEmptyRow,"",F_address)</f>
        <v/>
      </c>
      <c r="N71" s="15" cm="1">
        <f t="array" aca="1" ref="N71" ca="1">F_残</f>
        <v>0</v>
      </c>
      <c r="P71" t="str" cm="1">
        <f t="array" aca="1" ref="P71" ca="1">IF(isDataRow,テーブル定義コード_データ行,IF(isTermRow,テーブル定義コード_番兵行,IF(isCloseRow,テーブル定義コード_最終行,"")))</f>
        <v/>
      </c>
    </row>
    <row r="72" spans="1:16">
      <c r="A72" s="19"/>
      <c r="B72" s="19"/>
      <c r="C72" s="19"/>
      <c r="D72" s="19"/>
      <c r="E72" s="20"/>
      <c r="F72" s="20"/>
      <c r="G72" s="19"/>
      <c r="H72" s="19"/>
      <c r="I72" s="10" t="str" cm="1">
        <f t="array" aca="1" ref="I72" ca="1">IF(isEmptyRow,"",F_code)</f>
        <v/>
      </c>
      <c r="J72" s="10" t="str" cm="1">
        <f t="array" aca="1" ref="J72" ca="1">IF(isEmptyRow,"",INDIRECT("C"&amp;ROW())*INDIRECT("D"&amp;ROW()))</f>
        <v/>
      </c>
      <c r="K72" s="10" t="str" cm="1">
        <f t="array" aca="1" ref="K72" ca="1">IF(isEmptyRow,"",J72*2)</f>
        <v/>
      </c>
      <c r="L72" s="10" t="str" cm="1">
        <f t="array" aca="1" ref="L72" ca="1">IF(isEmptyRow,"",F_offset)</f>
        <v/>
      </c>
      <c r="M72" s="11" t="str" cm="1">
        <f t="array" aca="1" ref="M72" ca="1">IF(isEmptyRow,"",F_address)</f>
        <v/>
      </c>
      <c r="N72" s="15" cm="1">
        <f t="array" aca="1" ref="N72" ca="1">F_残</f>
        <v>0</v>
      </c>
      <c r="P72" t="str" cm="1">
        <f t="array" aca="1" ref="P72" ca="1">IF(isDataRow,テーブル定義コード_データ行,IF(isTermRow,テーブル定義コード_番兵行,IF(isCloseRow,テーブル定義コード_最終行,"")))</f>
        <v/>
      </c>
    </row>
    <row r="73" spans="1:16">
      <c r="A73" s="19"/>
      <c r="B73" s="19"/>
      <c r="C73" s="19"/>
      <c r="D73" s="19"/>
      <c r="E73" s="20"/>
      <c r="F73" s="20"/>
      <c r="G73" s="19"/>
      <c r="H73" s="19"/>
      <c r="I73" s="10" t="str" cm="1">
        <f t="array" aca="1" ref="I73" ca="1">IF(isEmptyRow,"",F_code)</f>
        <v/>
      </c>
      <c r="J73" s="10" t="str" cm="1">
        <f t="array" aca="1" ref="J73" ca="1">IF(isEmptyRow,"",INDIRECT("C"&amp;ROW())*INDIRECT("D"&amp;ROW()))</f>
        <v/>
      </c>
      <c r="K73" s="10" t="str" cm="1">
        <f t="array" aca="1" ref="K73" ca="1">IF(isEmptyRow,"",J73*2)</f>
        <v/>
      </c>
      <c r="L73" s="10" t="str" cm="1">
        <f t="array" aca="1" ref="L73" ca="1">IF(isEmptyRow,"",F_offset)</f>
        <v/>
      </c>
      <c r="M73" s="11" t="str" cm="1">
        <f t="array" aca="1" ref="M73" ca="1">IF(isEmptyRow,"",F_address)</f>
        <v/>
      </c>
      <c r="N73" s="15" cm="1">
        <f t="array" aca="1" ref="N73" ca="1">F_残</f>
        <v>0</v>
      </c>
      <c r="P73" t="str" cm="1">
        <f t="array" aca="1" ref="P73" ca="1">IF(isDataRow,テーブル定義コード_データ行,IF(isTermRow,テーブル定義コード_番兵行,IF(isCloseRow,テーブル定義コード_最終行,"")))</f>
        <v/>
      </c>
    </row>
    <row r="74" spans="1:16">
      <c r="A74" s="19"/>
      <c r="B74" s="19"/>
      <c r="C74" s="19"/>
      <c r="D74" s="19"/>
      <c r="E74" s="20"/>
      <c r="F74" s="20"/>
      <c r="G74" s="19"/>
      <c r="H74" s="19"/>
      <c r="I74" s="10" t="str" cm="1">
        <f t="array" aca="1" ref="I74" ca="1">IF(isEmptyRow,"",F_code)</f>
        <v/>
      </c>
      <c r="J74" s="10" t="str" cm="1">
        <f t="array" aca="1" ref="J74" ca="1">IF(isEmptyRow,"",INDIRECT("C"&amp;ROW())*INDIRECT("D"&amp;ROW()))</f>
        <v/>
      </c>
      <c r="K74" s="10" t="str" cm="1">
        <f t="array" aca="1" ref="K74" ca="1">IF(isEmptyRow,"",J74*2)</f>
        <v/>
      </c>
      <c r="L74" s="10" t="str" cm="1">
        <f t="array" aca="1" ref="L74" ca="1">IF(isEmptyRow,"",F_offset)</f>
        <v/>
      </c>
      <c r="M74" s="11" t="str" cm="1">
        <f t="array" aca="1" ref="M74" ca="1">IF(isEmptyRow,"",F_address)</f>
        <v/>
      </c>
      <c r="N74" s="15" cm="1">
        <f t="array" aca="1" ref="N74" ca="1">F_残</f>
        <v>0</v>
      </c>
      <c r="P74" t="str" cm="1">
        <f t="array" aca="1" ref="P74" ca="1">IF(isDataRow,テーブル定義コード_データ行,IF(isTermRow,テーブル定義コード_番兵行,IF(isCloseRow,テーブル定義コード_最終行,"")))</f>
        <v/>
      </c>
    </row>
    <row r="75" spans="1:16">
      <c r="A75" s="19"/>
      <c r="B75" s="19"/>
      <c r="C75" s="19"/>
      <c r="D75" s="19"/>
      <c r="E75" s="20"/>
      <c r="F75" s="20"/>
      <c r="G75" s="19"/>
      <c r="H75" s="19"/>
      <c r="I75" s="10" t="str" cm="1">
        <f t="array" aca="1" ref="I75" ca="1">IF(isEmptyRow,"",F_code)</f>
        <v/>
      </c>
      <c r="J75" s="10" t="str" cm="1">
        <f t="array" aca="1" ref="J75" ca="1">IF(isEmptyRow,"",INDIRECT("C"&amp;ROW())*INDIRECT("D"&amp;ROW()))</f>
        <v/>
      </c>
      <c r="K75" s="10" t="str" cm="1">
        <f t="array" aca="1" ref="K75" ca="1">IF(isEmptyRow,"",J75*2)</f>
        <v/>
      </c>
      <c r="L75" s="10" t="str" cm="1">
        <f t="array" aca="1" ref="L75" ca="1">IF(isEmptyRow,"",F_offset)</f>
        <v/>
      </c>
      <c r="M75" s="11" t="str" cm="1">
        <f t="array" aca="1" ref="M75" ca="1">IF(isEmptyRow,"",F_address)</f>
        <v/>
      </c>
      <c r="N75" s="15" cm="1">
        <f t="array" aca="1" ref="N75" ca="1">F_残</f>
        <v>0</v>
      </c>
      <c r="P75" t="str" cm="1">
        <f t="array" aca="1" ref="P75" ca="1">IF(isDataRow,テーブル定義コード_データ行,IF(isTermRow,テーブル定義コード_番兵行,IF(isCloseRow,テーブル定義コード_最終行,"")))</f>
        <v/>
      </c>
    </row>
    <row r="76" spans="1:16">
      <c r="A76" s="19"/>
      <c r="B76" s="19"/>
      <c r="C76" s="19"/>
      <c r="D76" s="19"/>
      <c r="E76" s="20"/>
      <c r="F76" s="20"/>
      <c r="G76" s="19"/>
      <c r="H76" s="19"/>
      <c r="I76" s="10" t="str" cm="1">
        <f t="array" aca="1" ref="I76" ca="1">IF(isEmptyRow,"",F_code)</f>
        <v/>
      </c>
      <c r="J76" s="10" t="str" cm="1">
        <f t="array" aca="1" ref="J76" ca="1">IF(isEmptyRow,"",INDIRECT("C"&amp;ROW())*INDIRECT("D"&amp;ROW()))</f>
        <v/>
      </c>
      <c r="K76" s="10" t="str" cm="1">
        <f t="array" aca="1" ref="K76" ca="1">IF(isEmptyRow,"",J76*2)</f>
        <v/>
      </c>
      <c r="L76" s="10" t="str" cm="1">
        <f t="array" aca="1" ref="L76" ca="1">IF(isEmptyRow,"",F_offset)</f>
        <v/>
      </c>
      <c r="M76" s="11" t="str" cm="1">
        <f t="array" aca="1" ref="M76" ca="1">IF(isEmptyRow,"",F_address)</f>
        <v/>
      </c>
      <c r="N76" s="15" cm="1">
        <f t="array" aca="1" ref="N76" ca="1">F_残</f>
        <v>0</v>
      </c>
      <c r="P76" t="str" cm="1">
        <f t="array" aca="1" ref="P76" ca="1">IF(isDataRow,テーブル定義コード_データ行,IF(isTermRow,テーブル定義コード_番兵行,IF(isCloseRow,テーブル定義コード_最終行,"")))</f>
        <v/>
      </c>
    </row>
    <row r="77" spans="1:16">
      <c r="A77" s="19"/>
      <c r="B77" s="19"/>
      <c r="C77" s="19"/>
      <c r="D77" s="19"/>
      <c r="E77" s="20"/>
      <c r="F77" s="20"/>
      <c r="G77" s="19"/>
      <c r="H77" s="19"/>
      <c r="I77" s="10" t="str" cm="1">
        <f t="array" aca="1" ref="I77" ca="1">IF(isEmptyRow,"",F_code)</f>
        <v/>
      </c>
      <c r="J77" s="10" t="str" cm="1">
        <f t="array" aca="1" ref="J77" ca="1">IF(isEmptyRow,"",INDIRECT("C"&amp;ROW())*INDIRECT("D"&amp;ROW()))</f>
        <v/>
      </c>
      <c r="K77" s="10" t="str" cm="1">
        <f t="array" aca="1" ref="K77" ca="1">IF(isEmptyRow,"",J77*2)</f>
        <v/>
      </c>
      <c r="L77" s="10" t="str" cm="1">
        <f t="array" aca="1" ref="L77" ca="1">IF(isEmptyRow,"",F_offset)</f>
        <v/>
      </c>
      <c r="M77" s="11" t="str" cm="1">
        <f t="array" aca="1" ref="M77" ca="1">IF(isEmptyRow,"",F_address)</f>
        <v/>
      </c>
      <c r="N77" s="15" cm="1">
        <f t="array" aca="1" ref="N77" ca="1">F_残</f>
        <v>0</v>
      </c>
      <c r="P77" t="str" cm="1">
        <f t="array" aca="1" ref="P77" ca="1">IF(isDataRow,テーブル定義コード_データ行,IF(isTermRow,テーブル定義コード_番兵行,IF(isCloseRow,テーブル定義コード_最終行,"")))</f>
        <v/>
      </c>
    </row>
    <row r="78" spans="1:16">
      <c r="A78" s="19"/>
      <c r="B78" s="19"/>
      <c r="C78" s="19"/>
      <c r="D78" s="19"/>
      <c r="E78" s="20"/>
      <c r="F78" s="20"/>
      <c r="G78" s="19"/>
      <c r="H78" s="19"/>
      <c r="I78" s="10" t="str" cm="1">
        <f t="array" aca="1" ref="I78" ca="1">IF(isEmptyRow,"",F_code)</f>
        <v/>
      </c>
      <c r="J78" s="10" t="str" cm="1">
        <f t="array" aca="1" ref="J78" ca="1">IF(isEmptyRow,"",INDIRECT("C"&amp;ROW())*INDIRECT("D"&amp;ROW()))</f>
        <v/>
      </c>
      <c r="K78" s="10" t="str" cm="1">
        <f t="array" aca="1" ref="K78" ca="1">IF(isEmptyRow,"",J78*2)</f>
        <v/>
      </c>
      <c r="L78" s="10" t="str" cm="1">
        <f t="array" aca="1" ref="L78" ca="1">IF(isEmptyRow,"",F_offset)</f>
        <v/>
      </c>
      <c r="M78" s="11" t="str" cm="1">
        <f t="array" aca="1" ref="M78" ca="1">IF(isEmptyRow,"",F_address)</f>
        <v/>
      </c>
      <c r="N78" s="15" cm="1">
        <f t="array" aca="1" ref="N78" ca="1">F_残</f>
        <v>0</v>
      </c>
      <c r="P78" t="str" cm="1">
        <f t="array" aca="1" ref="P78" ca="1">IF(isDataRow,テーブル定義コード_データ行,IF(isTermRow,テーブル定義コード_番兵行,IF(isCloseRow,テーブル定義コード_最終行,"")))</f>
        <v/>
      </c>
    </row>
    <row r="79" spans="1:16">
      <c r="A79" s="19"/>
      <c r="B79" s="19"/>
      <c r="C79" s="19"/>
      <c r="D79" s="19"/>
      <c r="E79" s="20"/>
      <c r="F79" s="20"/>
      <c r="G79" s="19"/>
      <c r="H79" s="19"/>
      <c r="I79" s="10" t="str" cm="1">
        <f t="array" aca="1" ref="I79" ca="1">IF(isEmptyRow,"",F_code)</f>
        <v/>
      </c>
      <c r="J79" s="10" t="str" cm="1">
        <f t="array" aca="1" ref="J79" ca="1">IF(isEmptyRow,"",INDIRECT("C"&amp;ROW())*INDIRECT("D"&amp;ROW()))</f>
        <v/>
      </c>
      <c r="K79" s="10" t="str" cm="1">
        <f t="array" aca="1" ref="K79" ca="1">IF(isEmptyRow,"",J79*2)</f>
        <v/>
      </c>
      <c r="L79" s="10" t="str" cm="1">
        <f t="array" aca="1" ref="L79" ca="1">IF(isEmptyRow,"",F_offset)</f>
        <v/>
      </c>
      <c r="M79" s="11" t="str" cm="1">
        <f t="array" aca="1" ref="M79" ca="1">IF(isEmptyRow,"",F_address)</f>
        <v/>
      </c>
      <c r="N79" s="15" cm="1">
        <f t="array" aca="1" ref="N79" ca="1">F_残</f>
        <v>0</v>
      </c>
      <c r="P79" t="str" cm="1">
        <f t="array" aca="1" ref="P79" ca="1">IF(isDataRow,テーブル定義コード_データ行,IF(isTermRow,テーブル定義コード_番兵行,IF(isCloseRow,テーブル定義コード_最終行,"")))</f>
        <v/>
      </c>
    </row>
    <row r="80" spans="1:16">
      <c r="A80" s="19"/>
      <c r="B80" s="19"/>
      <c r="C80" s="19"/>
      <c r="D80" s="19"/>
      <c r="E80" s="20"/>
      <c r="F80" s="20"/>
      <c r="G80" s="19"/>
      <c r="H80" s="19"/>
      <c r="I80" s="10" t="str" cm="1">
        <f t="array" aca="1" ref="I80" ca="1">IF(isEmptyRow,"",F_code)</f>
        <v/>
      </c>
      <c r="J80" s="10" t="str" cm="1">
        <f t="array" aca="1" ref="J80" ca="1">IF(isEmptyRow,"",INDIRECT("C"&amp;ROW())*INDIRECT("D"&amp;ROW()))</f>
        <v/>
      </c>
      <c r="K80" s="10" t="str" cm="1">
        <f t="array" aca="1" ref="K80" ca="1">IF(isEmptyRow,"",J80*2)</f>
        <v/>
      </c>
      <c r="L80" s="10" t="str" cm="1">
        <f t="array" aca="1" ref="L80" ca="1">IF(isEmptyRow,"",F_offset)</f>
        <v/>
      </c>
      <c r="M80" s="11" t="str" cm="1">
        <f t="array" aca="1" ref="M80" ca="1">IF(isEmptyRow,"",F_address)</f>
        <v/>
      </c>
      <c r="N80" s="15" cm="1">
        <f t="array" aca="1" ref="N80" ca="1">F_残</f>
        <v>0</v>
      </c>
      <c r="P80" t="str" cm="1">
        <f t="array" aca="1" ref="P80" ca="1">IF(isDataRow,テーブル定義コード_データ行,IF(isTermRow,テーブル定義コード_番兵行,IF(isCloseRow,テーブル定義コード_最終行,"")))</f>
        <v/>
      </c>
    </row>
    <row r="81" spans="1:16">
      <c r="A81" s="19"/>
      <c r="B81" s="19"/>
      <c r="C81" s="19"/>
      <c r="D81" s="19"/>
      <c r="E81" s="20"/>
      <c r="F81" s="20"/>
      <c r="G81" s="19"/>
      <c r="H81" s="19"/>
      <c r="I81" s="10" t="str" cm="1">
        <f t="array" aca="1" ref="I81" ca="1">IF(isEmptyRow,"",F_code)</f>
        <v/>
      </c>
      <c r="J81" s="10" t="str" cm="1">
        <f t="array" aca="1" ref="J81" ca="1">IF(isEmptyRow,"",INDIRECT("C"&amp;ROW())*INDIRECT("D"&amp;ROW()))</f>
        <v/>
      </c>
      <c r="K81" s="10" t="str" cm="1">
        <f t="array" aca="1" ref="K81" ca="1">IF(isEmptyRow,"",J81*2)</f>
        <v/>
      </c>
      <c r="L81" s="10" t="str" cm="1">
        <f t="array" aca="1" ref="L81" ca="1">IF(isEmptyRow,"",F_offset)</f>
        <v/>
      </c>
      <c r="M81" s="11" t="str" cm="1">
        <f t="array" aca="1" ref="M81" ca="1">IF(isEmptyRow,"",F_address)</f>
        <v/>
      </c>
      <c r="N81" s="15" cm="1">
        <f t="array" aca="1" ref="N81" ca="1">F_残</f>
        <v>0</v>
      </c>
      <c r="P81" t="str" cm="1">
        <f t="array" aca="1" ref="P81" ca="1">IF(isDataRow,テーブル定義コード_データ行,IF(isTermRow,テーブル定義コード_番兵行,IF(isCloseRow,テーブル定義コード_最終行,"")))</f>
        <v/>
      </c>
    </row>
    <row r="82" spans="1:16">
      <c r="A82" s="19"/>
      <c r="B82" s="19"/>
      <c r="C82" s="19"/>
      <c r="D82" s="19"/>
      <c r="E82" s="20"/>
      <c r="F82" s="20"/>
      <c r="G82" s="19"/>
      <c r="H82" s="19"/>
      <c r="I82" s="10" t="str" cm="1">
        <f t="array" aca="1" ref="I82" ca="1">IF(isEmptyRow,"",F_code)</f>
        <v/>
      </c>
      <c r="J82" s="10" t="str" cm="1">
        <f t="array" aca="1" ref="J82" ca="1">IF(isEmptyRow,"",INDIRECT("C"&amp;ROW())*INDIRECT("D"&amp;ROW()))</f>
        <v/>
      </c>
      <c r="K82" s="10" t="str" cm="1">
        <f t="array" aca="1" ref="K82" ca="1">IF(isEmptyRow,"",J82*2)</f>
        <v/>
      </c>
      <c r="L82" s="10" t="str" cm="1">
        <f t="array" aca="1" ref="L82" ca="1">IF(isEmptyRow,"",F_offset)</f>
        <v/>
      </c>
      <c r="M82" s="11" t="str" cm="1">
        <f t="array" aca="1" ref="M82" ca="1">IF(isEmptyRow,"",F_address)</f>
        <v/>
      </c>
      <c r="N82" s="15" cm="1">
        <f t="array" aca="1" ref="N82" ca="1">F_残</f>
        <v>0</v>
      </c>
      <c r="P82" t="str" cm="1">
        <f t="array" aca="1" ref="P82" ca="1">IF(isDataRow,テーブル定義コード_データ行,IF(isTermRow,テーブル定義コード_番兵行,IF(isCloseRow,テーブル定義コード_最終行,"")))</f>
        <v/>
      </c>
    </row>
    <row r="83" spans="1:16">
      <c r="A83" s="19"/>
      <c r="B83" s="19"/>
      <c r="C83" s="19"/>
      <c r="D83" s="19"/>
      <c r="E83" s="20"/>
      <c r="F83" s="20"/>
      <c r="G83" s="19"/>
      <c r="H83" s="19"/>
      <c r="I83" s="10" t="str" cm="1">
        <f t="array" aca="1" ref="I83" ca="1">IF(isEmptyRow,"",F_code)</f>
        <v/>
      </c>
      <c r="J83" s="10" t="str" cm="1">
        <f t="array" aca="1" ref="J83" ca="1">IF(isEmptyRow,"",INDIRECT("C"&amp;ROW())*INDIRECT("D"&amp;ROW()))</f>
        <v/>
      </c>
      <c r="K83" s="10" t="str" cm="1">
        <f t="array" aca="1" ref="K83" ca="1">IF(isEmptyRow,"",J83*2)</f>
        <v/>
      </c>
      <c r="L83" s="10" t="str" cm="1">
        <f t="array" aca="1" ref="L83" ca="1">IF(isEmptyRow,"",F_offset)</f>
        <v/>
      </c>
      <c r="M83" s="11" t="str" cm="1">
        <f t="array" aca="1" ref="M83" ca="1">IF(isEmptyRow,"",F_address)</f>
        <v/>
      </c>
      <c r="N83" s="15" cm="1">
        <f t="array" aca="1" ref="N83" ca="1">F_残</f>
        <v>0</v>
      </c>
      <c r="P83" t="str" cm="1">
        <f t="array" aca="1" ref="P83" ca="1">IF(isDataRow,テーブル定義コード_データ行,IF(isTermRow,テーブル定義コード_番兵行,IF(isCloseRow,テーブル定義コード_最終行,"")))</f>
        <v/>
      </c>
    </row>
    <row r="84" spans="1:16">
      <c r="A84" s="19"/>
      <c r="B84" s="19"/>
      <c r="C84" s="19"/>
      <c r="D84" s="19"/>
      <c r="E84" s="20"/>
      <c r="F84" s="20"/>
      <c r="G84" s="19"/>
      <c r="H84" s="19"/>
      <c r="I84" s="10" t="str" cm="1">
        <f t="array" aca="1" ref="I84" ca="1">IF(isEmptyRow,"",F_code)</f>
        <v/>
      </c>
      <c r="J84" s="10" t="str" cm="1">
        <f t="array" aca="1" ref="J84" ca="1">IF(isEmptyRow,"",INDIRECT("C"&amp;ROW())*INDIRECT("D"&amp;ROW()))</f>
        <v/>
      </c>
      <c r="K84" s="10" t="str" cm="1">
        <f t="array" aca="1" ref="K84" ca="1">IF(isEmptyRow,"",J84*2)</f>
        <v/>
      </c>
      <c r="L84" s="10" t="str" cm="1">
        <f t="array" aca="1" ref="L84" ca="1">IF(isEmptyRow,"",F_offset)</f>
        <v/>
      </c>
      <c r="M84" s="11" t="str" cm="1">
        <f t="array" aca="1" ref="M84" ca="1">IF(isEmptyRow,"",F_address)</f>
        <v/>
      </c>
      <c r="N84" s="15" cm="1">
        <f t="array" aca="1" ref="N84" ca="1">F_残</f>
        <v>0</v>
      </c>
      <c r="P84" t="str" cm="1">
        <f t="array" aca="1" ref="P84" ca="1">IF(isDataRow,テーブル定義コード_データ行,IF(isTermRow,テーブル定義コード_番兵行,IF(isCloseRow,テーブル定義コード_最終行,"")))</f>
        <v/>
      </c>
    </row>
    <row r="85" spans="1:16">
      <c r="A85" s="19"/>
      <c r="B85" s="19"/>
      <c r="C85" s="19"/>
      <c r="D85" s="19"/>
      <c r="E85" s="20"/>
      <c r="F85" s="20"/>
      <c r="G85" s="19"/>
      <c r="H85" s="19"/>
      <c r="I85" s="10" t="str" cm="1">
        <f t="array" aca="1" ref="I85" ca="1">IF(isEmptyRow,"",F_code)</f>
        <v/>
      </c>
      <c r="J85" s="10" t="str" cm="1">
        <f t="array" aca="1" ref="J85" ca="1">IF(isEmptyRow,"",INDIRECT("C"&amp;ROW())*INDIRECT("D"&amp;ROW()))</f>
        <v/>
      </c>
      <c r="K85" s="10" t="str" cm="1">
        <f t="array" aca="1" ref="K85" ca="1">IF(isEmptyRow,"",J85*2)</f>
        <v/>
      </c>
      <c r="L85" s="10" t="str" cm="1">
        <f t="array" aca="1" ref="L85" ca="1">IF(isEmptyRow,"",F_offset)</f>
        <v/>
      </c>
      <c r="M85" s="11" t="str" cm="1">
        <f t="array" aca="1" ref="M85" ca="1">IF(isEmptyRow,"",F_address)</f>
        <v/>
      </c>
      <c r="N85" s="15" cm="1">
        <f t="array" aca="1" ref="N85" ca="1">F_残</f>
        <v>0</v>
      </c>
      <c r="P85" t="str" cm="1">
        <f t="array" aca="1" ref="P85" ca="1">IF(isDataRow,テーブル定義コード_データ行,IF(isTermRow,テーブル定義コード_番兵行,IF(isCloseRow,テーブル定義コード_最終行,"")))</f>
        <v/>
      </c>
    </row>
    <row r="86" spans="1:16">
      <c r="A86" s="19"/>
      <c r="B86" s="19"/>
      <c r="C86" s="19"/>
      <c r="D86" s="19"/>
      <c r="E86" s="20"/>
      <c r="F86" s="20"/>
      <c r="G86" s="19"/>
      <c r="H86" s="19"/>
      <c r="I86" s="10" t="str" cm="1">
        <f t="array" aca="1" ref="I86" ca="1">IF(isEmptyRow,"",F_code)</f>
        <v/>
      </c>
      <c r="J86" s="10" t="str" cm="1">
        <f t="array" aca="1" ref="J86" ca="1">IF(isEmptyRow,"",INDIRECT("C"&amp;ROW())*INDIRECT("D"&amp;ROW()))</f>
        <v/>
      </c>
      <c r="K86" s="10" t="str" cm="1">
        <f t="array" aca="1" ref="K86" ca="1">IF(isEmptyRow,"",J86*2)</f>
        <v/>
      </c>
      <c r="L86" s="10" t="str" cm="1">
        <f t="array" aca="1" ref="L86" ca="1">IF(isEmptyRow,"",F_offset)</f>
        <v/>
      </c>
      <c r="M86" s="11" t="str" cm="1">
        <f t="array" aca="1" ref="M86" ca="1">IF(isEmptyRow,"",F_address)</f>
        <v/>
      </c>
      <c r="N86" s="15" cm="1">
        <f t="array" aca="1" ref="N86" ca="1">F_残</f>
        <v>0</v>
      </c>
      <c r="P86" t="str" cm="1">
        <f t="array" aca="1" ref="P86" ca="1">IF(isDataRow,テーブル定義コード_データ行,IF(isTermRow,テーブル定義コード_番兵行,IF(isCloseRow,テーブル定義コード_最終行,"")))</f>
        <v/>
      </c>
    </row>
    <row r="87" spans="1:16">
      <c r="A87" s="19"/>
      <c r="B87" s="19"/>
      <c r="C87" s="19"/>
      <c r="D87" s="19"/>
      <c r="E87" s="20"/>
      <c r="F87" s="20"/>
      <c r="G87" s="19"/>
      <c r="H87" s="19"/>
      <c r="I87" s="10" t="str" cm="1">
        <f t="array" aca="1" ref="I87" ca="1">IF(isEmptyRow,"",F_code)</f>
        <v/>
      </c>
      <c r="J87" s="10" t="str" cm="1">
        <f t="array" aca="1" ref="J87" ca="1">IF(isEmptyRow,"",INDIRECT("C"&amp;ROW())*INDIRECT("D"&amp;ROW()))</f>
        <v/>
      </c>
      <c r="K87" s="10" t="str" cm="1">
        <f t="array" aca="1" ref="K87" ca="1">IF(isEmptyRow,"",J87*2)</f>
        <v/>
      </c>
      <c r="L87" s="10" t="str" cm="1">
        <f t="array" aca="1" ref="L87" ca="1">IF(isEmptyRow,"",F_offset)</f>
        <v/>
      </c>
      <c r="M87" s="11" t="str" cm="1">
        <f t="array" aca="1" ref="M87" ca="1">IF(isEmptyRow,"",F_address)</f>
        <v/>
      </c>
      <c r="N87" s="15" cm="1">
        <f t="array" aca="1" ref="N87" ca="1">F_残</f>
        <v>0</v>
      </c>
      <c r="P87" t="str" cm="1">
        <f t="array" aca="1" ref="P87" ca="1">IF(isDataRow,テーブル定義コード_データ行,IF(isTermRow,テーブル定義コード_番兵行,IF(isCloseRow,テーブル定義コード_最終行,"")))</f>
        <v/>
      </c>
    </row>
    <row r="88" spans="1:16">
      <c r="A88" s="19"/>
      <c r="B88" s="19"/>
      <c r="C88" s="19"/>
      <c r="D88" s="19"/>
      <c r="E88" s="20"/>
      <c r="F88" s="20"/>
      <c r="G88" s="19"/>
      <c r="H88" s="19"/>
      <c r="I88" s="10" t="str" cm="1">
        <f t="array" aca="1" ref="I88" ca="1">IF(isEmptyRow,"",F_code)</f>
        <v/>
      </c>
      <c r="J88" s="10" t="str" cm="1">
        <f t="array" aca="1" ref="J88" ca="1">IF(isEmptyRow,"",INDIRECT("C"&amp;ROW())*INDIRECT("D"&amp;ROW()))</f>
        <v/>
      </c>
      <c r="K88" s="10" t="str" cm="1">
        <f t="array" aca="1" ref="K88" ca="1">IF(isEmptyRow,"",J88*2)</f>
        <v/>
      </c>
      <c r="L88" s="10" t="str" cm="1">
        <f t="array" aca="1" ref="L88" ca="1">IF(isEmptyRow,"",F_offset)</f>
        <v/>
      </c>
      <c r="M88" s="11" t="str" cm="1">
        <f t="array" aca="1" ref="M88" ca="1">IF(isEmptyRow,"",F_address)</f>
        <v/>
      </c>
      <c r="N88" s="15" cm="1">
        <f t="array" aca="1" ref="N88" ca="1">F_残</f>
        <v>0</v>
      </c>
      <c r="P88" t="str" cm="1">
        <f t="array" aca="1" ref="P88" ca="1">IF(isDataRow,テーブル定義コード_データ行,IF(isTermRow,テーブル定義コード_番兵行,IF(isCloseRow,テーブル定義コード_最終行,"")))</f>
        <v/>
      </c>
    </row>
    <row r="89" spans="1:16">
      <c r="A89" s="19"/>
      <c r="B89" s="19"/>
      <c r="C89" s="19"/>
      <c r="D89" s="19"/>
      <c r="E89" s="20"/>
      <c r="F89" s="20"/>
      <c r="G89" s="19"/>
      <c r="H89" s="19"/>
      <c r="I89" s="10" t="str" cm="1">
        <f t="array" aca="1" ref="I89" ca="1">IF(isEmptyRow,"",F_code)</f>
        <v/>
      </c>
      <c r="J89" s="10" t="str" cm="1">
        <f t="array" aca="1" ref="J89" ca="1">IF(isEmptyRow,"",INDIRECT("C"&amp;ROW())*INDIRECT("D"&amp;ROW()))</f>
        <v/>
      </c>
      <c r="K89" s="10" t="str" cm="1">
        <f t="array" aca="1" ref="K89" ca="1">IF(isEmptyRow,"",J89*2)</f>
        <v/>
      </c>
      <c r="L89" s="10" t="str" cm="1">
        <f t="array" aca="1" ref="L89" ca="1">IF(isEmptyRow,"",F_offset)</f>
        <v/>
      </c>
      <c r="M89" s="11" t="str" cm="1">
        <f t="array" aca="1" ref="M89" ca="1">IF(isEmptyRow,"",F_address)</f>
        <v/>
      </c>
      <c r="N89" s="15" cm="1">
        <f t="array" aca="1" ref="N89" ca="1">F_残</f>
        <v>0</v>
      </c>
      <c r="P89" t="str" cm="1">
        <f t="array" aca="1" ref="P89" ca="1">IF(isDataRow,テーブル定義コード_データ行,IF(isTermRow,テーブル定義コード_番兵行,IF(isCloseRow,テーブル定義コード_最終行,"")))</f>
        <v/>
      </c>
    </row>
    <row r="90" spans="1:16">
      <c r="A90" s="19"/>
      <c r="B90" s="19"/>
      <c r="C90" s="19"/>
      <c r="D90" s="19"/>
      <c r="E90" s="20"/>
      <c r="F90" s="20"/>
      <c r="G90" s="19"/>
      <c r="H90" s="19"/>
      <c r="I90" s="10" t="str" cm="1">
        <f t="array" aca="1" ref="I90" ca="1">IF(isEmptyRow,"",F_code)</f>
        <v/>
      </c>
      <c r="J90" s="10" t="str" cm="1">
        <f t="array" aca="1" ref="J90" ca="1">IF(isEmptyRow,"",INDIRECT("C"&amp;ROW())*INDIRECT("D"&amp;ROW()))</f>
        <v/>
      </c>
      <c r="K90" s="10" t="str" cm="1">
        <f t="array" aca="1" ref="K90" ca="1">IF(isEmptyRow,"",J90*2)</f>
        <v/>
      </c>
      <c r="L90" s="10" t="str" cm="1">
        <f t="array" aca="1" ref="L90" ca="1">IF(isEmptyRow,"",F_offset)</f>
        <v/>
      </c>
      <c r="M90" s="11" t="str" cm="1">
        <f t="array" aca="1" ref="M90" ca="1">IF(isEmptyRow,"",F_address)</f>
        <v/>
      </c>
      <c r="N90" s="15" cm="1">
        <f t="array" aca="1" ref="N90" ca="1">F_残</f>
        <v>0</v>
      </c>
      <c r="P90" t="str" cm="1">
        <f t="array" aca="1" ref="P90" ca="1">IF(isDataRow,テーブル定義コード_データ行,IF(isTermRow,テーブル定義コード_番兵行,IF(isCloseRow,テーブル定義コード_最終行,"")))</f>
        <v/>
      </c>
    </row>
    <row r="91" spans="1:16">
      <c r="A91" s="19"/>
      <c r="B91" s="19"/>
      <c r="C91" s="19"/>
      <c r="D91" s="19"/>
      <c r="E91" s="20"/>
      <c r="F91" s="20"/>
      <c r="G91" s="19"/>
      <c r="H91" s="19"/>
      <c r="I91" s="10" t="str" cm="1">
        <f t="array" aca="1" ref="I91" ca="1">IF(isEmptyRow,"",F_code)</f>
        <v/>
      </c>
      <c r="J91" s="10" t="str" cm="1">
        <f t="array" aca="1" ref="J91" ca="1">IF(isEmptyRow,"",INDIRECT("C"&amp;ROW())*INDIRECT("D"&amp;ROW()))</f>
        <v/>
      </c>
      <c r="K91" s="10" t="str" cm="1">
        <f t="array" aca="1" ref="K91" ca="1">IF(isEmptyRow,"",J91*2)</f>
        <v/>
      </c>
      <c r="L91" s="10" t="str" cm="1">
        <f t="array" aca="1" ref="L91" ca="1">IF(isEmptyRow,"",F_offset)</f>
        <v/>
      </c>
      <c r="M91" s="11" t="str" cm="1">
        <f t="array" aca="1" ref="M91" ca="1">IF(isEmptyRow,"",F_address)</f>
        <v/>
      </c>
      <c r="N91" s="15" cm="1">
        <f t="array" aca="1" ref="N91" ca="1">F_残</f>
        <v>0</v>
      </c>
      <c r="P91" t="str" cm="1">
        <f t="array" aca="1" ref="P91" ca="1">IF(isDataRow,テーブル定義コード_データ行,IF(isTermRow,テーブル定義コード_番兵行,IF(isCloseRow,テーブル定義コード_最終行,"")))</f>
        <v/>
      </c>
    </row>
    <row r="92" spans="1:16">
      <c r="A92" s="19"/>
      <c r="B92" s="19"/>
      <c r="C92" s="19"/>
      <c r="D92" s="19"/>
      <c r="E92" s="20"/>
      <c r="F92" s="20"/>
      <c r="G92" s="19"/>
      <c r="H92" s="19"/>
      <c r="I92" s="10" t="str" cm="1">
        <f t="array" aca="1" ref="I92" ca="1">IF(isEmptyRow,"",F_code)</f>
        <v/>
      </c>
      <c r="J92" s="10" t="str" cm="1">
        <f t="array" aca="1" ref="J92" ca="1">IF(isEmptyRow,"",INDIRECT("C"&amp;ROW())*INDIRECT("D"&amp;ROW()))</f>
        <v/>
      </c>
      <c r="K92" s="10" t="str" cm="1">
        <f t="array" aca="1" ref="K92" ca="1">IF(isEmptyRow,"",J92*2)</f>
        <v/>
      </c>
      <c r="L92" s="10" t="str" cm="1">
        <f t="array" aca="1" ref="L92" ca="1">IF(isEmptyRow,"",F_offset)</f>
        <v/>
      </c>
      <c r="M92" s="11" t="str" cm="1">
        <f t="array" aca="1" ref="M92" ca="1">IF(isEmptyRow,"",F_address)</f>
        <v/>
      </c>
      <c r="N92" s="15" cm="1">
        <f t="array" aca="1" ref="N92" ca="1">F_残</f>
        <v>0</v>
      </c>
      <c r="P92" t="str" cm="1">
        <f t="array" aca="1" ref="P92" ca="1">IF(isDataRow,テーブル定義コード_データ行,IF(isTermRow,テーブル定義コード_番兵行,IF(isCloseRow,テーブル定義コード_最終行,"")))</f>
        <v/>
      </c>
    </row>
    <row r="93" spans="1:16">
      <c r="A93" s="19"/>
      <c r="B93" s="19"/>
      <c r="C93" s="19"/>
      <c r="D93" s="19"/>
      <c r="E93" s="20"/>
      <c r="F93" s="20"/>
      <c r="G93" s="19"/>
      <c r="H93" s="19"/>
      <c r="I93" s="10" t="str" cm="1">
        <f t="array" aca="1" ref="I93" ca="1">IF(isEmptyRow,"",F_code)</f>
        <v/>
      </c>
      <c r="J93" s="10" t="str" cm="1">
        <f t="array" aca="1" ref="J93" ca="1">IF(isEmptyRow,"",INDIRECT("C"&amp;ROW())*INDIRECT("D"&amp;ROW()))</f>
        <v/>
      </c>
      <c r="K93" s="10" t="str" cm="1">
        <f t="array" aca="1" ref="K93" ca="1">IF(isEmptyRow,"",J93*2)</f>
        <v/>
      </c>
      <c r="L93" s="10" t="str" cm="1">
        <f t="array" aca="1" ref="L93" ca="1">IF(isEmptyRow,"",F_offset)</f>
        <v/>
      </c>
      <c r="M93" s="11" t="str" cm="1">
        <f t="array" aca="1" ref="M93" ca="1">IF(isEmptyRow,"",F_address)</f>
        <v/>
      </c>
      <c r="N93" s="15" cm="1">
        <f t="array" aca="1" ref="N93" ca="1">F_残</f>
        <v>0</v>
      </c>
      <c r="P93" t="str" cm="1">
        <f t="array" aca="1" ref="P93" ca="1">IF(isDataRow,テーブル定義コード_データ行,IF(isTermRow,テーブル定義コード_番兵行,IF(isCloseRow,テーブル定義コード_最終行,"")))</f>
        <v/>
      </c>
    </row>
    <row r="94" spans="1:16">
      <c r="A94" s="19"/>
      <c r="B94" s="19"/>
      <c r="C94" s="19"/>
      <c r="D94" s="19"/>
      <c r="E94" s="20"/>
      <c r="F94" s="20"/>
      <c r="G94" s="19"/>
      <c r="H94" s="19"/>
      <c r="I94" s="10" t="str" cm="1">
        <f t="array" aca="1" ref="I94" ca="1">IF(isEmptyRow,"",F_code)</f>
        <v/>
      </c>
      <c r="J94" s="10" t="str" cm="1">
        <f t="array" aca="1" ref="J94" ca="1">IF(isEmptyRow,"",INDIRECT("C"&amp;ROW())*INDIRECT("D"&amp;ROW()))</f>
        <v/>
      </c>
      <c r="K94" s="10" t="str" cm="1">
        <f t="array" aca="1" ref="K94" ca="1">IF(isEmptyRow,"",J94*2)</f>
        <v/>
      </c>
      <c r="L94" s="10" t="str" cm="1">
        <f t="array" aca="1" ref="L94" ca="1">IF(isEmptyRow,"",F_offset)</f>
        <v/>
      </c>
      <c r="M94" s="11" t="str" cm="1">
        <f t="array" aca="1" ref="M94" ca="1">IF(isEmptyRow,"",F_address)</f>
        <v/>
      </c>
      <c r="N94" s="15" cm="1">
        <f t="array" aca="1" ref="N94" ca="1">F_残</f>
        <v>0</v>
      </c>
      <c r="P94" t="str" cm="1">
        <f t="array" aca="1" ref="P94" ca="1">IF(isDataRow,テーブル定義コード_データ行,IF(isTermRow,テーブル定義コード_番兵行,IF(isCloseRow,テーブル定義コード_最終行,"")))</f>
        <v/>
      </c>
    </row>
    <row r="95" spans="1:16">
      <c r="A95" s="19"/>
      <c r="B95" s="19"/>
      <c r="C95" s="19"/>
      <c r="D95" s="19"/>
      <c r="E95" s="20"/>
      <c r="F95" s="20"/>
      <c r="G95" s="19"/>
      <c r="H95" s="19"/>
      <c r="I95" s="10" t="str" cm="1">
        <f t="array" aca="1" ref="I95" ca="1">IF(isEmptyRow,"",F_code)</f>
        <v/>
      </c>
      <c r="J95" s="10" t="str" cm="1">
        <f t="array" aca="1" ref="J95" ca="1">IF(isEmptyRow,"",INDIRECT("C"&amp;ROW())*INDIRECT("D"&amp;ROW()))</f>
        <v/>
      </c>
      <c r="K95" s="10" t="str" cm="1">
        <f t="array" aca="1" ref="K95" ca="1">IF(isEmptyRow,"",J95*2)</f>
        <v/>
      </c>
      <c r="L95" s="10" t="str" cm="1">
        <f t="array" aca="1" ref="L95" ca="1">IF(isEmptyRow,"",F_offset)</f>
        <v/>
      </c>
      <c r="M95" s="11" t="str" cm="1">
        <f t="array" aca="1" ref="M95" ca="1">IF(isEmptyRow,"",F_address)</f>
        <v/>
      </c>
      <c r="N95" s="15" cm="1">
        <f t="array" aca="1" ref="N95" ca="1">F_残</f>
        <v>0</v>
      </c>
      <c r="P95" t="str" cm="1">
        <f t="array" aca="1" ref="P95" ca="1">IF(isDataRow,テーブル定義コード_データ行,IF(isTermRow,テーブル定義コード_番兵行,IF(isCloseRow,テーブル定義コード_最終行,"")))</f>
        <v/>
      </c>
    </row>
    <row r="96" spans="1:16">
      <c r="A96" s="19"/>
      <c r="B96" s="19"/>
      <c r="C96" s="19"/>
      <c r="D96" s="19"/>
      <c r="E96" s="20"/>
      <c r="F96" s="20"/>
      <c r="G96" s="19"/>
      <c r="H96" s="19"/>
      <c r="I96" s="10" t="str" cm="1">
        <f t="array" aca="1" ref="I96" ca="1">IF(isEmptyRow,"",F_code)</f>
        <v/>
      </c>
      <c r="J96" s="10" t="str" cm="1">
        <f t="array" aca="1" ref="J96" ca="1">IF(isEmptyRow,"",INDIRECT("C"&amp;ROW())*INDIRECT("D"&amp;ROW()))</f>
        <v/>
      </c>
      <c r="K96" s="10" t="str" cm="1">
        <f t="array" aca="1" ref="K96" ca="1">IF(isEmptyRow,"",J96*2)</f>
        <v/>
      </c>
      <c r="L96" s="10" t="str" cm="1">
        <f t="array" aca="1" ref="L96" ca="1">IF(isEmptyRow,"",F_offset)</f>
        <v/>
      </c>
      <c r="M96" s="11" t="str" cm="1">
        <f t="array" aca="1" ref="M96" ca="1">IF(isEmptyRow,"",F_address)</f>
        <v/>
      </c>
      <c r="N96" s="15" cm="1">
        <f t="array" aca="1" ref="N96" ca="1">F_残</f>
        <v>0</v>
      </c>
      <c r="P96" t="str" cm="1">
        <f t="array" aca="1" ref="P96" ca="1">IF(isDataRow,テーブル定義コード_データ行,IF(isTermRow,テーブル定義コード_番兵行,IF(isCloseRow,テーブル定義コード_最終行,"")))</f>
        <v/>
      </c>
    </row>
    <row r="97" spans="1:16">
      <c r="A97" s="19"/>
      <c r="B97" s="19"/>
      <c r="C97" s="19"/>
      <c r="D97" s="19"/>
      <c r="E97" s="20"/>
      <c r="F97" s="20"/>
      <c r="G97" s="19"/>
      <c r="H97" s="19"/>
      <c r="I97" s="10" t="str" cm="1">
        <f t="array" aca="1" ref="I97" ca="1">IF(isEmptyRow,"",F_code)</f>
        <v/>
      </c>
      <c r="J97" s="10" t="str" cm="1">
        <f t="array" aca="1" ref="J97" ca="1">IF(isEmptyRow,"",INDIRECT("C"&amp;ROW())*INDIRECT("D"&amp;ROW()))</f>
        <v/>
      </c>
      <c r="K97" s="10" t="str" cm="1">
        <f t="array" aca="1" ref="K97" ca="1">IF(isEmptyRow,"",J97*2)</f>
        <v/>
      </c>
      <c r="L97" s="10" t="str" cm="1">
        <f t="array" aca="1" ref="L97" ca="1">IF(isEmptyRow,"",F_offset)</f>
        <v/>
      </c>
      <c r="M97" s="11" t="str" cm="1">
        <f t="array" aca="1" ref="M97" ca="1">IF(isEmptyRow,"",F_address)</f>
        <v/>
      </c>
      <c r="N97" s="15" cm="1">
        <f t="array" aca="1" ref="N97" ca="1">F_残</f>
        <v>0</v>
      </c>
      <c r="P97" t="str" cm="1">
        <f t="array" aca="1" ref="P97" ca="1">IF(isDataRow,テーブル定義コード_データ行,IF(isTermRow,テーブル定義コード_番兵行,IF(isCloseRow,テーブル定義コード_最終行,"")))</f>
        <v/>
      </c>
    </row>
    <row r="98" spans="1:16">
      <c r="A98" s="19"/>
      <c r="B98" s="19"/>
      <c r="C98" s="19"/>
      <c r="D98" s="19"/>
      <c r="E98" s="20"/>
      <c r="F98" s="20"/>
      <c r="G98" s="19"/>
      <c r="H98" s="19"/>
      <c r="I98" s="10" t="str" cm="1">
        <f t="array" aca="1" ref="I98" ca="1">IF(isEmptyRow,"",F_code)</f>
        <v/>
      </c>
      <c r="J98" s="10" t="str" cm="1">
        <f t="array" aca="1" ref="J98" ca="1">IF(isEmptyRow,"",INDIRECT("C"&amp;ROW())*INDIRECT("D"&amp;ROW()))</f>
        <v/>
      </c>
      <c r="K98" s="10" t="str" cm="1">
        <f t="array" aca="1" ref="K98" ca="1">IF(isEmptyRow,"",J98*2)</f>
        <v/>
      </c>
      <c r="L98" s="10" t="str" cm="1">
        <f t="array" aca="1" ref="L98" ca="1">IF(isEmptyRow,"",F_offset)</f>
        <v/>
      </c>
      <c r="M98" s="11" t="str" cm="1">
        <f t="array" aca="1" ref="M98" ca="1">IF(isEmptyRow,"",F_address)</f>
        <v/>
      </c>
      <c r="N98" s="15" cm="1">
        <f t="array" aca="1" ref="N98" ca="1">F_残</f>
        <v>0</v>
      </c>
      <c r="P98" t="str" cm="1">
        <f t="array" aca="1" ref="P98" ca="1">IF(isDataRow,テーブル定義コード_データ行,IF(isTermRow,テーブル定義コード_番兵行,IF(isCloseRow,テーブル定義コード_最終行,"")))</f>
        <v/>
      </c>
    </row>
    <row r="99" spans="1:16">
      <c r="A99" s="19"/>
      <c r="B99" s="19"/>
      <c r="C99" s="19"/>
      <c r="D99" s="19"/>
      <c r="E99" s="20"/>
      <c r="F99" s="20"/>
      <c r="G99" s="19"/>
      <c r="H99" s="19"/>
      <c r="I99" s="10" t="str" cm="1">
        <f t="array" aca="1" ref="I99" ca="1">IF(isEmptyRow,"",F_code)</f>
        <v/>
      </c>
      <c r="J99" s="10" t="str" cm="1">
        <f t="array" aca="1" ref="J99" ca="1">IF(isEmptyRow,"",INDIRECT("C"&amp;ROW())*INDIRECT("D"&amp;ROW()))</f>
        <v/>
      </c>
      <c r="K99" s="10" t="str" cm="1">
        <f t="array" aca="1" ref="K99" ca="1">IF(isEmptyRow,"",J99*2)</f>
        <v/>
      </c>
      <c r="L99" s="10" t="str" cm="1">
        <f t="array" aca="1" ref="L99" ca="1">IF(isEmptyRow,"",F_offset)</f>
        <v/>
      </c>
      <c r="M99" s="11" t="str" cm="1">
        <f t="array" aca="1" ref="M99" ca="1">IF(isEmptyRow,"",F_address)</f>
        <v/>
      </c>
      <c r="N99" s="15" cm="1">
        <f t="array" aca="1" ref="N99" ca="1">F_残</f>
        <v>0</v>
      </c>
      <c r="P99" t="str" cm="1">
        <f t="array" aca="1" ref="P99" ca="1">IF(isDataRow,テーブル定義コード_データ行,IF(isTermRow,テーブル定義コード_番兵行,IF(isCloseRow,テーブル定義コード_最終行,"")))</f>
        <v/>
      </c>
    </row>
    <row r="100" spans="1:16">
      <c r="A100" s="19"/>
      <c r="B100" s="19"/>
      <c r="C100" s="19"/>
      <c r="D100" s="19"/>
      <c r="E100" s="20"/>
      <c r="F100" s="20"/>
      <c r="G100" s="19"/>
      <c r="H100" s="19"/>
      <c r="I100" s="10" t="str" cm="1">
        <f t="array" aca="1" ref="I100" ca="1">IF(isEmptyRow,"",F_code)</f>
        <v/>
      </c>
      <c r="J100" s="10" t="str" cm="1">
        <f t="array" aca="1" ref="J100" ca="1">IF(isEmptyRow,"",INDIRECT("C"&amp;ROW())*INDIRECT("D"&amp;ROW()))</f>
        <v/>
      </c>
      <c r="K100" s="10" t="str" cm="1">
        <f t="array" aca="1" ref="K100" ca="1">IF(isEmptyRow,"",J100*2)</f>
        <v/>
      </c>
      <c r="L100" s="10" t="str" cm="1">
        <f t="array" aca="1" ref="L100" ca="1">IF(isEmptyRow,"",F_offset)</f>
        <v/>
      </c>
      <c r="M100" s="11" t="str" cm="1">
        <f t="array" aca="1" ref="M100" ca="1">IF(isEmptyRow,"",F_address)</f>
        <v/>
      </c>
      <c r="N100" s="15" cm="1">
        <f t="array" aca="1" ref="N100" ca="1">F_残</f>
        <v>0</v>
      </c>
      <c r="P100" t="str" cm="1">
        <f t="array" aca="1" ref="P100" ca="1">IF(isDataRow,テーブル定義コード_データ行,IF(isTermRow,テーブル定義コード_番兵行,IF(isCloseRow,テーブル定義コード_最終行,"")))</f>
        <v/>
      </c>
    </row>
    <row r="101" spans="1:16">
      <c r="A101" s="19"/>
      <c r="B101" s="19"/>
      <c r="C101" s="19"/>
      <c r="D101" s="19"/>
      <c r="E101" s="20"/>
      <c r="F101" s="20"/>
      <c r="G101" s="19"/>
      <c r="H101" s="19"/>
      <c r="I101" s="10" t="str" cm="1">
        <f t="array" aca="1" ref="I101" ca="1">IF(isEmptyRow,"",F_code)</f>
        <v/>
      </c>
      <c r="J101" s="10" t="str" cm="1">
        <f t="array" aca="1" ref="J101" ca="1">IF(isEmptyRow,"",INDIRECT("C"&amp;ROW())*INDIRECT("D"&amp;ROW()))</f>
        <v/>
      </c>
      <c r="K101" s="10" t="str" cm="1">
        <f t="array" aca="1" ref="K101" ca="1">IF(isEmptyRow,"",J101*2)</f>
        <v/>
      </c>
      <c r="L101" s="10" t="str" cm="1">
        <f t="array" aca="1" ref="L101" ca="1">IF(isEmptyRow,"",F_offset)</f>
        <v/>
      </c>
      <c r="M101" s="11" t="str" cm="1">
        <f t="array" aca="1" ref="M101" ca="1">IF(isEmptyRow,"",F_address)</f>
        <v/>
      </c>
      <c r="N101" s="15" cm="1">
        <f t="array" aca="1" ref="N101" ca="1">F_残</f>
        <v>0</v>
      </c>
      <c r="P101" t="str" cm="1">
        <f t="array" aca="1" ref="P101" ca="1">IF(isDataRow,テーブル定義コード_データ行,IF(isTermRow,テーブル定義コード_番兵行,IF(isCloseRow,テーブル定義コード_最終行,"")))</f>
        <v/>
      </c>
    </row>
    <row r="102" spans="1:16">
      <c r="A102" s="19"/>
      <c r="B102" s="19"/>
      <c r="C102" s="19"/>
      <c r="D102" s="19"/>
      <c r="E102" s="20"/>
      <c r="F102" s="20"/>
      <c r="G102" s="19"/>
      <c r="H102" s="19"/>
      <c r="I102" s="10" t="str" cm="1">
        <f t="array" aca="1" ref="I102" ca="1">IF(isEmptyRow,"",F_code)</f>
        <v/>
      </c>
      <c r="J102" s="10" t="str" cm="1">
        <f t="array" aca="1" ref="J102" ca="1">IF(isEmptyRow,"",INDIRECT("C"&amp;ROW())*INDIRECT("D"&amp;ROW()))</f>
        <v/>
      </c>
      <c r="K102" s="10" t="str" cm="1">
        <f t="array" aca="1" ref="K102" ca="1">IF(isEmptyRow,"",J102*2)</f>
        <v/>
      </c>
      <c r="L102" s="10" t="str" cm="1">
        <f t="array" aca="1" ref="L102" ca="1">IF(isEmptyRow,"",F_offset)</f>
        <v/>
      </c>
      <c r="M102" s="11" t="str" cm="1">
        <f t="array" aca="1" ref="M102" ca="1">IF(isEmptyRow,"",F_address)</f>
        <v/>
      </c>
      <c r="N102" s="15" cm="1">
        <f t="array" aca="1" ref="N102" ca="1">F_残</f>
        <v>0</v>
      </c>
      <c r="P102" t="str" cm="1">
        <f t="array" aca="1" ref="P102" ca="1">IF(isDataRow,テーブル定義コード_データ行,IF(isTermRow,テーブル定義コード_番兵行,IF(isCloseRow,テーブル定義コード_最終行,"")))</f>
        <v/>
      </c>
    </row>
    <row r="103" spans="1:16">
      <c r="A103" s="19"/>
      <c r="B103" s="19"/>
      <c r="C103" s="19"/>
      <c r="D103" s="19"/>
      <c r="E103" s="20"/>
      <c r="F103" s="20"/>
      <c r="G103" s="19"/>
      <c r="H103" s="19"/>
      <c r="I103" s="10" t="str" cm="1">
        <f t="array" aca="1" ref="I103" ca="1">IF(isEmptyRow,"",F_code)</f>
        <v/>
      </c>
      <c r="J103" s="10" t="str" cm="1">
        <f t="array" aca="1" ref="J103" ca="1">IF(isEmptyRow,"",INDIRECT("C"&amp;ROW())*INDIRECT("D"&amp;ROW()))</f>
        <v/>
      </c>
      <c r="K103" s="10" t="str" cm="1">
        <f t="array" aca="1" ref="K103" ca="1">IF(isEmptyRow,"",J103*2)</f>
        <v/>
      </c>
      <c r="L103" s="10" t="str" cm="1">
        <f t="array" aca="1" ref="L103" ca="1">IF(isEmptyRow,"",F_offset)</f>
        <v/>
      </c>
      <c r="M103" s="11" t="str" cm="1">
        <f t="array" aca="1" ref="M103" ca="1">IF(isEmptyRow,"",F_address)</f>
        <v/>
      </c>
      <c r="N103" s="15" cm="1">
        <f t="array" aca="1" ref="N103" ca="1">F_残</f>
        <v>0</v>
      </c>
      <c r="P103" t="str" cm="1">
        <f t="array" aca="1" ref="P103" ca="1">IF(isDataRow,テーブル定義コード_データ行,IF(isTermRow,テーブル定義コード_番兵行,IF(isCloseRow,テーブル定義コード_最終行,"")))</f>
        <v/>
      </c>
    </row>
    <row r="104" spans="1:16">
      <c r="A104" s="19"/>
      <c r="B104" s="19"/>
      <c r="C104" s="19"/>
      <c r="D104" s="19"/>
      <c r="E104" s="20"/>
      <c r="F104" s="20"/>
      <c r="G104" s="19"/>
      <c r="H104" s="19"/>
      <c r="I104" s="10" t="str" cm="1">
        <f t="array" aca="1" ref="I104" ca="1">IF(isEmptyRow,"",F_code)</f>
        <v/>
      </c>
      <c r="J104" s="10" t="str" cm="1">
        <f t="array" aca="1" ref="J104" ca="1">IF(isEmptyRow,"",INDIRECT("C"&amp;ROW())*INDIRECT("D"&amp;ROW()))</f>
        <v/>
      </c>
      <c r="K104" s="10" t="str" cm="1">
        <f t="array" aca="1" ref="K104" ca="1">IF(isEmptyRow,"",J104*2)</f>
        <v/>
      </c>
      <c r="L104" s="10" t="str" cm="1">
        <f t="array" aca="1" ref="L104" ca="1">IF(isEmptyRow,"",F_offset)</f>
        <v/>
      </c>
      <c r="M104" s="11" t="str" cm="1">
        <f t="array" aca="1" ref="M104" ca="1">IF(isEmptyRow,"",F_address)</f>
        <v/>
      </c>
      <c r="N104" s="15" cm="1">
        <f t="array" aca="1" ref="N104" ca="1">F_残</f>
        <v>0</v>
      </c>
      <c r="P104" t="str" cm="1">
        <f t="array" aca="1" ref="P104" ca="1">IF(isDataRow,テーブル定義コード_データ行,IF(isTermRow,テーブル定義コード_番兵行,IF(isCloseRow,テーブル定義コード_最終行,"")))</f>
        <v/>
      </c>
    </row>
    <row r="105" spans="1:16">
      <c r="A105" s="19"/>
      <c r="B105" s="19"/>
      <c r="C105" s="19"/>
      <c r="D105" s="19"/>
      <c r="E105" s="20"/>
      <c r="F105" s="20"/>
      <c r="G105" s="19"/>
      <c r="H105" s="19"/>
      <c r="I105" s="10" t="str" cm="1">
        <f t="array" aca="1" ref="I105" ca="1">IF(isEmptyRow,"",F_code)</f>
        <v/>
      </c>
      <c r="J105" s="10" t="str" cm="1">
        <f t="array" aca="1" ref="J105" ca="1">IF(isEmptyRow,"",INDIRECT("C"&amp;ROW())*INDIRECT("D"&amp;ROW()))</f>
        <v/>
      </c>
      <c r="K105" s="10" t="str" cm="1">
        <f t="array" aca="1" ref="K105" ca="1">IF(isEmptyRow,"",J105*2)</f>
        <v/>
      </c>
      <c r="L105" s="10" t="str" cm="1">
        <f t="array" aca="1" ref="L105" ca="1">IF(isEmptyRow,"",F_offset)</f>
        <v/>
      </c>
      <c r="M105" s="11" t="str" cm="1">
        <f t="array" aca="1" ref="M105" ca="1">IF(isEmptyRow,"",F_address)</f>
        <v/>
      </c>
      <c r="N105" s="15" cm="1">
        <f t="array" aca="1" ref="N105" ca="1">F_残</f>
        <v>0</v>
      </c>
      <c r="P105" t="str" cm="1">
        <f t="array" aca="1" ref="P105" ca="1">IF(isDataRow,テーブル定義コード_データ行,IF(isTermRow,テーブル定義コード_番兵行,IF(isCloseRow,テーブル定義コード_最終行,"")))</f>
        <v/>
      </c>
    </row>
    <row r="106" spans="1:16">
      <c r="A106" s="19"/>
      <c r="B106" s="19"/>
      <c r="C106" s="19"/>
      <c r="D106" s="19"/>
      <c r="E106" s="20"/>
      <c r="F106" s="20"/>
      <c r="G106" s="19"/>
      <c r="H106" s="19"/>
      <c r="I106" s="10" t="str" cm="1">
        <f t="array" aca="1" ref="I106" ca="1">IF(isEmptyRow,"",F_code)</f>
        <v/>
      </c>
      <c r="J106" s="10" t="str" cm="1">
        <f t="array" aca="1" ref="J106" ca="1">IF(isEmptyRow,"",INDIRECT("C"&amp;ROW())*INDIRECT("D"&amp;ROW()))</f>
        <v/>
      </c>
      <c r="K106" s="10" t="str" cm="1">
        <f t="array" aca="1" ref="K106" ca="1">IF(isEmptyRow,"",J106*2)</f>
        <v/>
      </c>
      <c r="L106" s="10" t="str" cm="1">
        <f t="array" aca="1" ref="L106" ca="1">IF(isEmptyRow,"",F_offset)</f>
        <v/>
      </c>
      <c r="M106" s="11" t="str" cm="1">
        <f t="array" aca="1" ref="M106" ca="1">IF(isEmptyRow,"",F_address)</f>
        <v/>
      </c>
      <c r="N106" s="15" cm="1">
        <f t="array" aca="1" ref="N106" ca="1">F_残</f>
        <v>0</v>
      </c>
      <c r="P106" t="str" cm="1">
        <f t="array" aca="1" ref="P106" ca="1">IF(isDataRow,テーブル定義コード_データ行,IF(isTermRow,テーブル定義コード_番兵行,IF(isCloseRow,テーブル定義コード_最終行,"")))</f>
        <v/>
      </c>
    </row>
    <row r="107" spans="1:16">
      <c r="A107" s="19"/>
      <c r="B107" s="19"/>
      <c r="C107" s="19"/>
      <c r="D107" s="19"/>
      <c r="E107" s="20"/>
      <c r="F107" s="20"/>
      <c r="G107" s="19"/>
      <c r="H107" s="19"/>
      <c r="I107" s="10" t="str" cm="1">
        <f t="array" aca="1" ref="I107" ca="1">IF(isEmptyRow,"",F_code)</f>
        <v/>
      </c>
      <c r="J107" s="10" t="str" cm="1">
        <f t="array" aca="1" ref="J107" ca="1">IF(isEmptyRow,"",INDIRECT("C"&amp;ROW())*INDIRECT("D"&amp;ROW()))</f>
        <v/>
      </c>
      <c r="K107" s="10" t="str" cm="1">
        <f t="array" aca="1" ref="K107" ca="1">IF(isEmptyRow,"",J107*2)</f>
        <v/>
      </c>
      <c r="L107" s="10" t="str" cm="1">
        <f t="array" aca="1" ref="L107" ca="1">IF(isEmptyRow,"",F_offset)</f>
        <v/>
      </c>
      <c r="M107" s="11" t="str" cm="1">
        <f t="array" aca="1" ref="M107" ca="1">IF(isEmptyRow,"",F_address)</f>
        <v/>
      </c>
      <c r="N107" s="15" cm="1">
        <f t="array" aca="1" ref="N107" ca="1">F_残</f>
        <v>0</v>
      </c>
      <c r="P107" t="str" cm="1">
        <f t="array" aca="1" ref="P107" ca="1">IF(isDataRow,テーブル定義コード_データ行,IF(isTermRow,テーブル定義コード_番兵行,IF(isCloseRow,テーブル定義コード_最終行,"")))</f>
        <v/>
      </c>
    </row>
    <row r="108" spans="1:16">
      <c r="A108" s="19"/>
      <c r="B108" s="19"/>
      <c r="C108" s="19"/>
      <c r="D108" s="19"/>
      <c r="E108" s="20"/>
      <c r="F108" s="20"/>
      <c r="G108" s="19"/>
      <c r="H108" s="19"/>
      <c r="I108" s="10" t="str" cm="1">
        <f t="array" aca="1" ref="I108" ca="1">IF(isEmptyRow,"",F_code)</f>
        <v/>
      </c>
      <c r="J108" s="10" t="str" cm="1">
        <f t="array" aca="1" ref="J108" ca="1">IF(isEmptyRow,"",INDIRECT("C"&amp;ROW())*INDIRECT("D"&amp;ROW()))</f>
        <v/>
      </c>
      <c r="K108" s="10" t="str" cm="1">
        <f t="array" aca="1" ref="K108" ca="1">IF(isEmptyRow,"",J108*2)</f>
        <v/>
      </c>
      <c r="L108" s="10" t="str" cm="1">
        <f t="array" aca="1" ref="L108" ca="1">IF(isEmptyRow,"",F_offset)</f>
        <v/>
      </c>
      <c r="M108" s="11" t="str" cm="1">
        <f t="array" aca="1" ref="M108" ca="1">IF(isEmptyRow,"",F_address)</f>
        <v/>
      </c>
      <c r="N108" s="15" cm="1">
        <f t="array" aca="1" ref="N108" ca="1">F_残</f>
        <v>0</v>
      </c>
      <c r="P108" t="str" cm="1">
        <f t="array" aca="1" ref="P108" ca="1">IF(isDataRow,テーブル定義コード_データ行,IF(isTermRow,テーブル定義コード_番兵行,IF(isCloseRow,テーブル定義コード_最終行,"")))</f>
        <v/>
      </c>
    </row>
    <row r="109" spans="1:16">
      <c r="A109" s="19"/>
      <c r="B109" s="19"/>
      <c r="C109" s="19"/>
      <c r="D109" s="19"/>
      <c r="E109" s="20"/>
      <c r="F109" s="20"/>
      <c r="G109" s="19"/>
      <c r="H109" s="19"/>
      <c r="I109" s="10" t="str" cm="1">
        <f t="array" aca="1" ref="I109" ca="1">IF(isEmptyRow,"",F_code)</f>
        <v/>
      </c>
      <c r="J109" s="10" t="str" cm="1">
        <f t="array" aca="1" ref="J109" ca="1">IF(isEmptyRow,"",INDIRECT("C"&amp;ROW())*INDIRECT("D"&amp;ROW()))</f>
        <v/>
      </c>
      <c r="K109" s="10" t="str" cm="1">
        <f t="array" aca="1" ref="K109" ca="1">IF(isEmptyRow,"",J109*2)</f>
        <v/>
      </c>
      <c r="L109" s="10" t="str" cm="1">
        <f t="array" aca="1" ref="L109" ca="1">IF(isEmptyRow,"",F_offset)</f>
        <v/>
      </c>
      <c r="M109" s="11" t="str" cm="1">
        <f t="array" aca="1" ref="M109" ca="1">IF(isEmptyRow,"",F_address)</f>
        <v/>
      </c>
      <c r="N109" s="15" cm="1">
        <f t="array" aca="1" ref="N109" ca="1">F_残</f>
        <v>0</v>
      </c>
      <c r="P109" t="str" cm="1">
        <f t="array" aca="1" ref="P109" ca="1">IF(isDataRow,テーブル定義コード_データ行,IF(isTermRow,テーブル定義コード_番兵行,IF(isCloseRow,テーブル定義コード_最終行,"")))</f>
        <v/>
      </c>
    </row>
    <row r="110" spans="1:16">
      <c r="A110" s="19"/>
      <c r="B110" s="19"/>
      <c r="C110" s="19"/>
      <c r="D110" s="19"/>
      <c r="E110" s="20"/>
      <c r="F110" s="20"/>
      <c r="G110" s="19"/>
      <c r="H110" s="19"/>
      <c r="I110" s="10" t="str" cm="1">
        <f t="array" aca="1" ref="I110" ca="1">IF(isEmptyRow,"",F_code)</f>
        <v/>
      </c>
      <c r="J110" s="10" t="str" cm="1">
        <f t="array" aca="1" ref="J110" ca="1">IF(isEmptyRow,"",INDIRECT("C"&amp;ROW())*INDIRECT("D"&amp;ROW()))</f>
        <v/>
      </c>
      <c r="K110" s="10" t="str" cm="1">
        <f t="array" aca="1" ref="K110" ca="1">IF(isEmptyRow,"",J110*2)</f>
        <v/>
      </c>
      <c r="L110" s="10" t="str" cm="1">
        <f t="array" aca="1" ref="L110" ca="1">IF(isEmptyRow,"",F_offset)</f>
        <v/>
      </c>
      <c r="M110" s="11" t="str" cm="1">
        <f t="array" aca="1" ref="M110" ca="1">IF(isEmptyRow,"",F_address)</f>
        <v/>
      </c>
      <c r="N110" s="15" cm="1">
        <f t="array" aca="1" ref="N110" ca="1">F_残</f>
        <v>0</v>
      </c>
      <c r="P110" t="str" cm="1">
        <f t="array" aca="1" ref="P110" ca="1">IF(isDataRow,テーブル定義コード_データ行,IF(isTermRow,テーブル定義コード_番兵行,IF(isCloseRow,テーブル定義コード_最終行,"")))</f>
        <v/>
      </c>
    </row>
    <row r="111" spans="1:16">
      <c r="A111" s="19"/>
      <c r="B111" s="19"/>
      <c r="C111" s="19"/>
      <c r="D111" s="19"/>
      <c r="E111" s="20"/>
      <c r="F111" s="20"/>
      <c r="G111" s="19"/>
      <c r="H111" s="19"/>
      <c r="I111" s="10" t="str" cm="1">
        <f t="array" aca="1" ref="I111" ca="1">IF(isEmptyRow,"",F_code)</f>
        <v/>
      </c>
      <c r="J111" s="10" t="str" cm="1">
        <f t="array" aca="1" ref="J111" ca="1">IF(isEmptyRow,"",INDIRECT("C"&amp;ROW())*INDIRECT("D"&amp;ROW()))</f>
        <v/>
      </c>
      <c r="K111" s="10" t="str" cm="1">
        <f t="array" aca="1" ref="K111" ca="1">IF(isEmptyRow,"",J111*2)</f>
        <v/>
      </c>
      <c r="L111" s="10" t="str" cm="1">
        <f t="array" aca="1" ref="L111" ca="1">IF(isEmptyRow,"",F_offset)</f>
        <v/>
      </c>
      <c r="M111" s="11" t="str" cm="1">
        <f t="array" aca="1" ref="M111" ca="1">IF(isEmptyRow,"",F_address)</f>
        <v/>
      </c>
      <c r="N111" s="15" cm="1">
        <f t="array" aca="1" ref="N111" ca="1">F_残</f>
        <v>0</v>
      </c>
      <c r="P111" t="str" cm="1">
        <f t="array" aca="1" ref="P111" ca="1">IF(isDataRow,テーブル定義コード_データ行,IF(isTermRow,テーブル定義コード_番兵行,IF(isCloseRow,テーブル定義コード_最終行,"")))</f>
        <v/>
      </c>
    </row>
    <row r="112" spans="1:16">
      <c r="A112" s="19"/>
      <c r="B112" s="19"/>
      <c r="C112" s="19"/>
      <c r="D112" s="19"/>
      <c r="E112" s="20"/>
      <c r="F112" s="20"/>
      <c r="G112" s="19"/>
      <c r="H112" s="19"/>
      <c r="I112" s="10" t="str" cm="1">
        <f t="array" aca="1" ref="I112" ca="1">IF(isEmptyRow,"",F_code)</f>
        <v/>
      </c>
      <c r="J112" s="10" t="str" cm="1">
        <f t="array" aca="1" ref="J112" ca="1">IF(isEmptyRow,"",INDIRECT("C"&amp;ROW())*INDIRECT("D"&amp;ROW()))</f>
        <v/>
      </c>
      <c r="K112" s="10" t="str" cm="1">
        <f t="array" aca="1" ref="K112" ca="1">IF(isEmptyRow,"",J112*2)</f>
        <v/>
      </c>
      <c r="L112" s="10" t="str" cm="1">
        <f t="array" aca="1" ref="L112" ca="1">IF(isEmptyRow,"",F_offset)</f>
        <v/>
      </c>
      <c r="M112" s="11" t="str" cm="1">
        <f t="array" aca="1" ref="M112" ca="1">IF(isEmptyRow,"",F_address)</f>
        <v/>
      </c>
      <c r="N112" s="15" cm="1">
        <f t="array" aca="1" ref="N112" ca="1">F_残</f>
        <v>0</v>
      </c>
      <c r="P112" t="str" cm="1">
        <f t="array" aca="1" ref="P112" ca="1">IF(isDataRow,テーブル定義コード_データ行,IF(isTermRow,テーブル定義コード_番兵行,IF(isCloseRow,テーブル定義コード_最終行,"")))</f>
        <v/>
      </c>
    </row>
    <row r="113" spans="1:16">
      <c r="A113" s="19"/>
      <c r="B113" s="19"/>
      <c r="C113" s="19"/>
      <c r="D113" s="19"/>
      <c r="E113" s="20"/>
      <c r="F113" s="20"/>
      <c r="G113" s="19"/>
      <c r="H113" s="19"/>
      <c r="I113" s="10" t="str" cm="1">
        <f t="array" aca="1" ref="I113" ca="1">IF(isEmptyRow,"",F_code)</f>
        <v/>
      </c>
      <c r="J113" s="10" t="str" cm="1">
        <f t="array" aca="1" ref="J113" ca="1">IF(isEmptyRow,"",INDIRECT("C"&amp;ROW())*INDIRECT("D"&amp;ROW()))</f>
        <v/>
      </c>
      <c r="K113" s="10" t="str" cm="1">
        <f t="array" aca="1" ref="K113" ca="1">IF(isEmptyRow,"",J113*2)</f>
        <v/>
      </c>
      <c r="L113" s="10" t="str" cm="1">
        <f t="array" aca="1" ref="L113" ca="1">IF(isEmptyRow,"",F_offset)</f>
        <v/>
      </c>
      <c r="M113" s="11" t="str" cm="1">
        <f t="array" aca="1" ref="M113" ca="1">IF(isEmptyRow,"",F_address)</f>
        <v/>
      </c>
      <c r="N113" s="15" cm="1">
        <f t="array" aca="1" ref="N113" ca="1">F_残</f>
        <v>0</v>
      </c>
      <c r="P113" t="str" cm="1">
        <f t="array" aca="1" ref="P113" ca="1">IF(isDataRow,テーブル定義コード_データ行,IF(isTermRow,テーブル定義コード_番兵行,IF(isCloseRow,テーブル定義コード_最終行,"")))</f>
        <v/>
      </c>
    </row>
    <row r="114" spans="1:16">
      <c r="A114" s="19"/>
      <c r="B114" s="19"/>
      <c r="C114" s="19"/>
      <c r="D114" s="19"/>
      <c r="E114" s="20"/>
      <c r="F114" s="20"/>
      <c r="G114" s="19"/>
      <c r="H114" s="19"/>
      <c r="I114" s="10" t="str" cm="1">
        <f t="array" aca="1" ref="I114" ca="1">IF(isEmptyRow,"",F_code)</f>
        <v/>
      </c>
      <c r="J114" s="10" t="str" cm="1">
        <f t="array" aca="1" ref="J114" ca="1">IF(isEmptyRow,"",INDIRECT("C"&amp;ROW())*INDIRECT("D"&amp;ROW()))</f>
        <v/>
      </c>
      <c r="K114" s="10" t="str" cm="1">
        <f t="array" aca="1" ref="K114" ca="1">IF(isEmptyRow,"",J114*2)</f>
        <v/>
      </c>
      <c r="L114" s="10" t="str" cm="1">
        <f t="array" aca="1" ref="L114" ca="1">IF(isEmptyRow,"",F_offset)</f>
        <v/>
      </c>
      <c r="M114" s="11" t="str" cm="1">
        <f t="array" aca="1" ref="M114" ca="1">IF(isEmptyRow,"",F_address)</f>
        <v/>
      </c>
      <c r="N114" s="15" cm="1">
        <f t="array" aca="1" ref="N114" ca="1">F_残</f>
        <v>0</v>
      </c>
      <c r="P114" t="str" cm="1">
        <f t="array" aca="1" ref="P114" ca="1">IF(isDataRow,テーブル定義コード_データ行,IF(isTermRow,テーブル定義コード_番兵行,IF(isCloseRow,テーブル定義コード_最終行,"")))</f>
        <v/>
      </c>
    </row>
    <row r="115" spans="1:16">
      <c r="A115" s="19"/>
      <c r="B115" s="19"/>
      <c r="C115" s="19"/>
      <c r="D115" s="19"/>
      <c r="E115" s="20"/>
      <c r="F115" s="20"/>
      <c r="G115" s="19"/>
      <c r="H115" s="19"/>
      <c r="I115" s="10" t="str" cm="1">
        <f t="array" aca="1" ref="I115" ca="1">IF(isEmptyRow,"",F_code)</f>
        <v/>
      </c>
      <c r="J115" s="10" t="str" cm="1">
        <f t="array" aca="1" ref="J115" ca="1">IF(isEmptyRow,"",INDIRECT("C"&amp;ROW())*INDIRECT("D"&amp;ROW()))</f>
        <v/>
      </c>
      <c r="K115" s="10" t="str" cm="1">
        <f t="array" aca="1" ref="K115" ca="1">IF(isEmptyRow,"",J115*2)</f>
        <v/>
      </c>
      <c r="L115" s="10" t="str" cm="1">
        <f t="array" aca="1" ref="L115" ca="1">IF(isEmptyRow,"",F_offset)</f>
        <v/>
      </c>
      <c r="M115" s="11" t="str" cm="1">
        <f t="array" aca="1" ref="M115" ca="1">IF(isEmptyRow,"",F_address)</f>
        <v/>
      </c>
      <c r="N115" s="15" cm="1">
        <f t="array" aca="1" ref="N115" ca="1">F_残</f>
        <v>0</v>
      </c>
      <c r="P115" t="str" cm="1">
        <f t="array" aca="1" ref="P115" ca="1">IF(isDataRow,テーブル定義コード_データ行,IF(isTermRow,テーブル定義コード_番兵行,IF(isCloseRow,テーブル定義コード_最終行,"")))</f>
        <v/>
      </c>
    </row>
    <row r="116" spans="1:16">
      <c r="A116" s="19"/>
      <c r="B116" s="19"/>
      <c r="C116" s="19"/>
      <c r="D116" s="19"/>
      <c r="E116" s="20"/>
      <c r="F116" s="20"/>
      <c r="G116" s="19"/>
      <c r="H116" s="19"/>
      <c r="I116" s="10" t="str" cm="1">
        <f t="array" aca="1" ref="I116" ca="1">IF(isEmptyRow,"",F_code)</f>
        <v/>
      </c>
      <c r="J116" s="10" t="str" cm="1">
        <f t="array" aca="1" ref="J116" ca="1">IF(isEmptyRow,"",INDIRECT("C"&amp;ROW())*INDIRECT("D"&amp;ROW()))</f>
        <v/>
      </c>
      <c r="K116" s="10" t="str" cm="1">
        <f t="array" aca="1" ref="K116" ca="1">IF(isEmptyRow,"",J116*2)</f>
        <v/>
      </c>
      <c r="L116" s="10" t="str" cm="1">
        <f t="array" aca="1" ref="L116" ca="1">IF(isEmptyRow,"",F_offset)</f>
        <v/>
      </c>
      <c r="M116" s="11" t="str" cm="1">
        <f t="array" aca="1" ref="M116" ca="1">IF(isEmptyRow,"",F_address)</f>
        <v/>
      </c>
      <c r="N116" s="15" cm="1">
        <f t="array" aca="1" ref="N116" ca="1">F_残</f>
        <v>0</v>
      </c>
      <c r="P116" t="str" cm="1">
        <f t="array" aca="1" ref="P116" ca="1">IF(isDataRow,テーブル定義コード_データ行,IF(isTermRow,テーブル定義コード_番兵行,IF(isCloseRow,テーブル定義コード_最終行,"")))</f>
        <v/>
      </c>
    </row>
    <row r="117" spans="1:16">
      <c r="A117" s="19"/>
      <c r="B117" s="19"/>
      <c r="C117" s="19"/>
      <c r="D117" s="19"/>
      <c r="E117" s="20"/>
      <c r="F117" s="20"/>
      <c r="G117" s="19"/>
      <c r="H117" s="19"/>
      <c r="I117" s="10" t="str" cm="1">
        <f t="array" aca="1" ref="I117" ca="1">IF(isEmptyRow,"",F_code)</f>
        <v/>
      </c>
      <c r="J117" s="10" t="str" cm="1">
        <f t="array" aca="1" ref="J117" ca="1">IF(isEmptyRow,"",INDIRECT("C"&amp;ROW())*INDIRECT("D"&amp;ROW()))</f>
        <v/>
      </c>
      <c r="K117" s="10" t="str" cm="1">
        <f t="array" aca="1" ref="K117" ca="1">IF(isEmptyRow,"",J117*2)</f>
        <v/>
      </c>
      <c r="L117" s="10" t="str" cm="1">
        <f t="array" aca="1" ref="L117" ca="1">IF(isEmptyRow,"",F_offset)</f>
        <v/>
      </c>
      <c r="M117" s="11" t="str" cm="1">
        <f t="array" aca="1" ref="M117" ca="1">IF(isEmptyRow,"",F_address)</f>
        <v/>
      </c>
      <c r="N117" s="15" cm="1">
        <f t="array" aca="1" ref="N117" ca="1">F_残</f>
        <v>0</v>
      </c>
      <c r="P117" t="str" cm="1">
        <f t="array" aca="1" ref="P117" ca="1">IF(isDataRow,テーブル定義コード_データ行,IF(isTermRow,テーブル定義コード_番兵行,IF(isCloseRow,テーブル定義コード_最終行,"")))</f>
        <v/>
      </c>
    </row>
    <row r="118" spans="1:16">
      <c r="A118" s="19"/>
      <c r="B118" s="19"/>
      <c r="C118" s="19"/>
      <c r="D118" s="19"/>
      <c r="E118" s="20"/>
      <c r="F118" s="20"/>
      <c r="G118" s="19"/>
      <c r="H118" s="19"/>
      <c r="I118" s="10" t="str" cm="1">
        <f t="array" aca="1" ref="I118" ca="1">IF(isEmptyRow,"",F_code)</f>
        <v/>
      </c>
      <c r="J118" s="10" t="str" cm="1">
        <f t="array" aca="1" ref="J118" ca="1">IF(isEmptyRow,"",INDIRECT("C"&amp;ROW())*INDIRECT("D"&amp;ROW()))</f>
        <v/>
      </c>
      <c r="K118" s="10" t="str" cm="1">
        <f t="array" aca="1" ref="K118" ca="1">IF(isEmptyRow,"",J118*2)</f>
        <v/>
      </c>
      <c r="L118" s="10" t="str" cm="1">
        <f t="array" aca="1" ref="L118" ca="1">IF(isEmptyRow,"",F_offset)</f>
        <v/>
      </c>
      <c r="M118" s="11" t="str" cm="1">
        <f t="array" aca="1" ref="M118" ca="1">IF(isEmptyRow,"",F_address)</f>
        <v/>
      </c>
      <c r="N118" s="15" cm="1">
        <f t="array" aca="1" ref="N118" ca="1">F_残</f>
        <v>0</v>
      </c>
      <c r="P118" t="str" cm="1">
        <f t="array" aca="1" ref="P118" ca="1">IF(isDataRow,テーブル定義コード_データ行,IF(isTermRow,テーブル定義コード_番兵行,IF(isCloseRow,テーブル定義コード_最終行,"")))</f>
        <v/>
      </c>
    </row>
    <row r="119" spans="1:16">
      <c r="A119" s="19"/>
      <c r="B119" s="19"/>
      <c r="C119" s="19"/>
      <c r="D119" s="19"/>
      <c r="E119" s="20"/>
      <c r="F119" s="20"/>
      <c r="G119" s="19"/>
      <c r="H119" s="19"/>
      <c r="I119" s="10" t="str" cm="1">
        <f t="array" aca="1" ref="I119" ca="1">IF(isEmptyRow,"",F_code)</f>
        <v/>
      </c>
      <c r="J119" s="10" t="str" cm="1">
        <f t="array" aca="1" ref="J119" ca="1">IF(isEmptyRow,"",INDIRECT("C"&amp;ROW())*INDIRECT("D"&amp;ROW()))</f>
        <v/>
      </c>
      <c r="K119" s="10" t="str" cm="1">
        <f t="array" aca="1" ref="K119" ca="1">IF(isEmptyRow,"",J119*2)</f>
        <v/>
      </c>
      <c r="L119" s="10" t="str" cm="1">
        <f t="array" aca="1" ref="L119" ca="1">IF(isEmptyRow,"",F_offset)</f>
        <v/>
      </c>
      <c r="M119" s="11" t="str" cm="1">
        <f t="array" aca="1" ref="M119" ca="1">IF(isEmptyRow,"",F_address)</f>
        <v/>
      </c>
      <c r="N119" s="15" cm="1">
        <f t="array" aca="1" ref="N119" ca="1">F_残</f>
        <v>0</v>
      </c>
      <c r="P119" t="str" cm="1">
        <f t="array" aca="1" ref="P119" ca="1">IF(isDataRow,テーブル定義コード_データ行,IF(isTermRow,テーブル定義コード_番兵行,IF(isCloseRow,テーブル定義コード_最終行,"")))</f>
        <v/>
      </c>
    </row>
    <row r="120" spans="1:16">
      <c r="A120" s="19"/>
      <c r="B120" s="19"/>
      <c r="C120" s="19"/>
      <c r="D120" s="19"/>
      <c r="E120" s="20"/>
      <c r="F120" s="20"/>
      <c r="G120" s="19"/>
      <c r="H120" s="19"/>
      <c r="I120" s="10" t="str" cm="1">
        <f t="array" aca="1" ref="I120" ca="1">IF(isEmptyRow,"",F_code)</f>
        <v/>
      </c>
      <c r="J120" s="10" t="str" cm="1">
        <f t="array" aca="1" ref="J120" ca="1">IF(isEmptyRow,"",INDIRECT("C"&amp;ROW())*INDIRECT("D"&amp;ROW()))</f>
        <v/>
      </c>
      <c r="K120" s="10" t="str" cm="1">
        <f t="array" aca="1" ref="K120" ca="1">IF(isEmptyRow,"",J120*2)</f>
        <v/>
      </c>
      <c r="L120" s="10" t="str" cm="1">
        <f t="array" aca="1" ref="L120" ca="1">IF(isEmptyRow,"",F_offset)</f>
        <v/>
      </c>
      <c r="M120" s="11" t="str" cm="1">
        <f t="array" aca="1" ref="M120" ca="1">IF(isEmptyRow,"",F_address)</f>
        <v/>
      </c>
      <c r="N120" s="15" cm="1">
        <f t="array" aca="1" ref="N120" ca="1">F_残</f>
        <v>0</v>
      </c>
      <c r="P120" t="str" cm="1">
        <f t="array" aca="1" ref="P120" ca="1">IF(isDataRow,テーブル定義コード_データ行,IF(isTermRow,テーブル定義コード_番兵行,IF(isCloseRow,テーブル定義コード_最終行,"")))</f>
        <v/>
      </c>
    </row>
    <row r="121" spans="1:16">
      <c r="A121" s="19"/>
      <c r="B121" s="19"/>
      <c r="C121" s="19"/>
      <c r="D121" s="19"/>
      <c r="E121" s="20"/>
      <c r="F121" s="20"/>
      <c r="G121" s="19"/>
      <c r="H121" s="19"/>
      <c r="I121" s="10" t="str" cm="1">
        <f t="array" aca="1" ref="I121" ca="1">IF(isEmptyRow,"",F_code)</f>
        <v/>
      </c>
      <c r="J121" s="10" t="str" cm="1">
        <f t="array" aca="1" ref="J121" ca="1">IF(isEmptyRow,"",INDIRECT("C"&amp;ROW())*INDIRECT("D"&amp;ROW()))</f>
        <v/>
      </c>
      <c r="K121" s="10" t="str" cm="1">
        <f t="array" aca="1" ref="K121" ca="1">IF(isEmptyRow,"",J121*2)</f>
        <v/>
      </c>
      <c r="L121" s="10" t="str" cm="1">
        <f t="array" aca="1" ref="L121" ca="1">IF(isEmptyRow,"",F_offset)</f>
        <v/>
      </c>
      <c r="M121" s="11" t="str" cm="1">
        <f t="array" aca="1" ref="M121" ca="1">IF(isEmptyRow,"",F_address)</f>
        <v/>
      </c>
      <c r="N121" s="15" cm="1">
        <f t="array" aca="1" ref="N121" ca="1">F_残</f>
        <v>0</v>
      </c>
      <c r="P121" t="str" cm="1">
        <f t="array" aca="1" ref="P121" ca="1">IF(isDataRow,テーブル定義コード_データ行,IF(isTermRow,テーブル定義コード_番兵行,IF(isCloseRow,テーブル定義コード_最終行,"")))</f>
        <v/>
      </c>
    </row>
    <row r="122" spans="1:16">
      <c r="A122" s="19"/>
      <c r="B122" s="19"/>
      <c r="C122" s="19"/>
      <c r="D122" s="19"/>
      <c r="E122" s="20"/>
      <c r="F122" s="20"/>
      <c r="G122" s="19"/>
      <c r="H122" s="19"/>
      <c r="I122" s="10" t="str" cm="1">
        <f t="array" aca="1" ref="I122" ca="1">IF(isEmptyRow,"",F_code)</f>
        <v/>
      </c>
      <c r="J122" s="10" t="str" cm="1">
        <f t="array" aca="1" ref="J122" ca="1">IF(isEmptyRow,"",INDIRECT("C"&amp;ROW())*INDIRECT("D"&amp;ROW()))</f>
        <v/>
      </c>
      <c r="K122" s="10" t="str" cm="1">
        <f t="array" aca="1" ref="K122" ca="1">IF(isEmptyRow,"",J122*2)</f>
        <v/>
      </c>
      <c r="L122" s="10" t="str" cm="1">
        <f t="array" aca="1" ref="L122" ca="1">IF(isEmptyRow,"",F_offset)</f>
        <v/>
      </c>
      <c r="M122" s="11" t="str" cm="1">
        <f t="array" aca="1" ref="M122" ca="1">IF(isEmptyRow,"",F_address)</f>
        <v/>
      </c>
      <c r="N122" s="15" cm="1">
        <f t="array" aca="1" ref="N122" ca="1">F_残</f>
        <v>0</v>
      </c>
      <c r="P122" t="str" cm="1">
        <f t="array" aca="1" ref="P122" ca="1">IF(isDataRow,テーブル定義コード_データ行,IF(isTermRow,テーブル定義コード_番兵行,IF(isCloseRow,テーブル定義コード_最終行,"")))</f>
        <v/>
      </c>
    </row>
    <row r="123" spans="1:16">
      <c r="A123" s="19"/>
      <c r="B123" s="19"/>
      <c r="C123" s="19"/>
      <c r="D123" s="19"/>
      <c r="E123" s="20"/>
      <c r="F123" s="20"/>
      <c r="G123" s="19"/>
      <c r="H123" s="19"/>
      <c r="I123" s="10" t="str" cm="1">
        <f t="array" aca="1" ref="I123" ca="1">IF(isEmptyRow,"",F_code)</f>
        <v/>
      </c>
      <c r="J123" s="10" t="str" cm="1">
        <f t="array" aca="1" ref="J123" ca="1">IF(isEmptyRow,"",INDIRECT("C"&amp;ROW())*INDIRECT("D"&amp;ROW()))</f>
        <v/>
      </c>
      <c r="K123" s="10" t="str" cm="1">
        <f t="array" aca="1" ref="K123" ca="1">IF(isEmptyRow,"",J123*2)</f>
        <v/>
      </c>
      <c r="L123" s="10" t="str" cm="1">
        <f t="array" aca="1" ref="L123" ca="1">IF(isEmptyRow,"",F_offset)</f>
        <v/>
      </c>
      <c r="M123" s="11" t="str" cm="1">
        <f t="array" aca="1" ref="M123" ca="1">IF(isEmptyRow,"",F_address)</f>
        <v/>
      </c>
      <c r="N123" s="15" cm="1">
        <f t="array" aca="1" ref="N123" ca="1">F_残</f>
        <v>0</v>
      </c>
      <c r="P123" t="str" cm="1">
        <f t="array" aca="1" ref="P123" ca="1">IF(isDataRow,テーブル定義コード_データ行,IF(isTermRow,テーブル定義コード_番兵行,IF(isCloseRow,テーブル定義コード_最終行,"")))</f>
        <v/>
      </c>
    </row>
    <row r="124" spans="1:16">
      <c r="A124" s="19"/>
      <c r="B124" s="19"/>
      <c r="C124" s="19"/>
      <c r="D124" s="19"/>
      <c r="E124" s="20"/>
      <c r="F124" s="20"/>
      <c r="G124" s="19"/>
      <c r="H124" s="19"/>
      <c r="I124" s="10" t="str" cm="1">
        <f t="array" aca="1" ref="I124" ca="1">IF(isEmptyRow,"",F_code)</f>
        <v/>
      </c>
      <c r="J124" s="10" t="str" cm="1">
        <f t="array" aca="1" ref="J124" ca="1">IF(isEmptyRow,"",INDIRECT("C"&amp;ROW())*INDIRECT("D"&amp;ROW()))</f>
        <v/>
      </c>
      <c r="K124" s="10" t="str" cm="1">
        <f t="array" aca="1" ref="K124" ca="1">IF(isEmptyRow,"",J124*2)</f>
        <v/>
      </c>
      <c r="L124" s="10" t="str" cm="1">
        <f t="array" aca="1" ref="L124" ca="1">IF(isEmptyRow,"",F_offset)</f>
        <v/>
      </c>
      <c r="M124" s="11" t="str" cm="1">
        <f t="array" aca="1" ref="M124" ca="1">IF(isEmptyRow,"",F_address)</f>
        <v/>
      </c>
      <c r="N124" s="15" cm="1">
        <f t="array" aca="1" ref="N124" ca="1">F_残</f>
        <v>0</v>
      </c>
      <c r="P124" t="str" cm="1">
        <f t="array" aca="1" ref="P124" ca="1">IF(isDataRow,テーブル定義コード_データ行,IF(isTermRow,テーブル定義コード_番兵行,IF(isCloseRow,テーブル定義コード_最終行,"")))</f>
        <v/>
      </c>
    </row>
    <row r="125" spans="1:16">
      <c r="A125" s="19"/>
      <c r="B125" s="19"/>
      <c r="C125" s="19"/>
      <c r="D125" s="19"/>
      <c r="E125" s="20"/>
      <c r="F125" s="20"/>
      <c r="G125" s="19"/>
      <c r="H125" s="19"/>
      <c r="I125" s="10" t="str" cm="1">
        <f t="array" aca="1" ref="I125" ca="1">IF(isEmptyRow,"",F_code)</f>
        <v/>
      </c>
      <c r="J125" s="10" t="str" cm="1">
        <f t="array" aca="1" ref="J125" ca="1">IF(isEmptyRow,"",INDIRECT("C"&amp;ROW())*INDIRECT("D"&amp;ROW()))</f>
        <v/>
      </c>
      <c r="K125" s="10" t="str" cm="1">
        <f t="array" aca="1" ref="K125" ca="1">IF(isEmptyRow,"",J125*2)</f>
        <v/>
      </c>
      <c r="L125" s="10" t="str" cm="1">
        <f t="array" aca="1" ref="L125" ca="1">IF(isEmptyRow,"",F_offset)</f>
        <v/>
      </c>
      <c r="M125" s="11" t="str" cm="1">
        <f t="array" aca="1" ref="M125" ca="1">IF(isEmptyRow,"",F_address)</f>
        <v/>
      </c>
      <c r="N125" s="15" cm="1">
        <f t="array" aca="1" ref="N125" ca="1">F_残</f>
        <v>0</v>
      </c>
      <c r="P125" t="str" cm="1">
        <f t="array" aca="1" ref="P125" ca="1">IF(isDataRow,テーブル定義コード_データ行,IF(isTermRow,テーブル定義コード_番兵行,IF(isCloseRow,テーブル定義コード_最終行,"")))</f>
        <v/>
      </c>
    </row>
    <row r="126" spans="1:16">
      <c r="A126" s="19"/>
      <c r="B126" s="19"/>
      <c r="C126" s="19"/>
      <c r="D126" s="19"/>
      <c r="E126" s="20"/>
      <c r="F126" s="20"/>
      <c r="G126" s="19"/>
      <c r="H126" s="19"/>
      <c r="I126" s="10" t="str" cm="1">
        <f t="array" aca="1" ref="I126" ca="1">IF(isEmptyRow,"",F_code)</f>
        <v/>
      </c>
      <c r="J126" s="10" t="str" cm="1">
        <f t="array" aca="1" ref="J126" ca="1">IF(isEmptyRow,"",INDIRECT("C"&amp;ROW())*INDIRECT("D"&amp;ROW()))</f>
        <v/>
      </c>
      <c r="K126" s="10" t="str" cm="1">
        <f t="array" aca="1" ref="K126" ca="1">IF(isEmptyRow,"",J126*2)</f>
        <v/>
      </c>
      <c r="L126" s="10" t="str" cm="1">
        <f t="array" aca="1" ref="L126" ca="1">IF(isEmptyRow,"",F_offset)</f>
        <v/>
      </c>
      <c r="M126" s="11" t="str" cm="1">
        <f t="array" aca="1" ref="M126" ca="1">IF(isEmptyRow,"",F_address)</f>
        <v/>
      </c>
      <c r="N126" s="15" cm="1">
        <f t="array" aca="1" ref="N126" ca="1">F_残</f>
        <v>0</v>
      </c>
      <c r="P126" t="str" cm="1">
        <f t="array" aca="1" ref="P126" ca="1">IF(isDataRow,テーブル定義コード_データ行,IF(isTermRow,テーブル定義コード_番兵行,IF(isCloseRow,テーブル定義コード_最終行,"")))</f>
        <v/>
      </c>
    </row>
    <row r="127" spans="1:16">
      <c r="A127" s="21"/>
      <c r="B127" s="21"/>
      <c r="C127" s="21"/>
      <c r="D127" s="21"/>
      <c r="E127" s="22"/>
      <c r="F127" s="22"/>
      <c r="G127" s="21"/>
      <c r="H127" s="21"/>
      <c r="I127" s="12" t="str" cm="1">
        <f t="array" aca="1" ref="I127" ca="1">IF(isEmptyRow,"",F_code)</f>
        <v/>
      </c>
      <c r="J127" s="12" t="str" cm="1">
        <f t="array" aca="1" ref="J127" ca="1">IF(isEmptyRow,"",INDIRECT("C"&amp;ROW())*INDIRECT("D"&amp;ROW()))</f>
        <v/>
      </c>
      <c r="K127" s="12" t="str" cm="1">
        <f t="array" aca="1" ref="K127" ca="1">IF(isEmptyRow,"",J127*2)</f>
        <v/>
      </c>
      <c r="L127" s="12" t="str" cm="1">
        <f t="array" aca="1" ref="L127" ca="1">IF(isEmptyRow,"",F_offset)</f>
        <v/>
      </c>
      <c r="M127" s="13" t="str" cm="1">
        <f t="array" aca="1" ref="M127" ca="1">IF(isEmptyRow,"",F_address)</f>
        <v/>
      </c>
      <c r="N127" s="16" cm="1">
        <f t="array" aca="1" ref="N127" ca="1">F_残</f>
        <v>0</v>
      </c>
      <c r="P127" t="str" cm="1">
        <f t="array" aca="1" ref="P127" ca="1">IF(isDataRow,テーブル定義コード_データ行,IF(isTermRow,テーブル定義コード_番兵行,IF(isCloseRow,テーブル定義コード_最終行,"")))</f>
        <v/>
      </c>
    </row>
  </sheetData>
  <sheetProtection formatCells="0" formatColumns="0" formatRows="0" autoFilter="0"/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CE518F-186B-426D-874F-8F843BAB44BB}">
          <x14:formula1>
            <xm:f>表記フォーマット!$A$2:$A$126</xm:f>
          </x14:formula1>
          <xm:sqref>G2:G127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C42D-9D98-49B6-BCBE-27D8E19ADDC6}">
  <dimension ref="A1:P127"/>
  <sheetViews>
    <sheetView workbookViewId="0">
      <pane ySplit="1" topLeftCell="A2" activePane="bottomLeft" state="frozen"/>
      <selection activeCell="A2" sqref="A2"/>
      <selection pane="bottomLeft" activeCell="O1" sqref="O1"/>
    </sheetView>
  </sheetViews>
  <sheetFormatPr defaultRowHeight="14.25"/>
  <cols>
    <col min="1" max="1" width="24.7109375" bestFit="1" customWidth="1"/>
    <col min="2" max="2" width="30.42578125" bestFit="1" customWidth="1"/>
    <col min="3" max="3" width="5.42578125" bestFit="1" customWidth="1"/>
    <col min="4" max="4" width="7" bestFit="1" customWidth="1"/>
    <col min="5" max="6" width="7.140625" style="1" customWidth="1"/>
    <col min="7" max="7" width="12" customWidth="1"/>
    <col min="8" max="8" width="42.28515625" customWidth="1"/>
    <col min="9" max="9" width="5.42578125" bestFit="1" customWidth="1"/>
    <col min="10" max="10" width="5.7109375" bestFit="1" customWidth="1"/>
    <col min="11" max="11" width="4.5703125" bestFit="1" customWidth="1"/>
    <col min="12" max="12" width="7.5703125" bestFit="1" customWidth="1"/>
    <col min="13" max="14" width="9.140625" style="1"/>
  </cols>
  <sheetData>
    <row r="1" spans="1:16">
      <c r="A1" s="5" t="s">
        <v>2</v>
      </c>
      <c r="B1" s="6" t="s">
        <v>3</v>
      </c>
      <c r="C1" s="6" t="s">
        <v>0</v>
      </c>
      <c r="D1" s="6" t="s">
        <v>1</v>
      </c>
      <c r="E1" s="7" t="s">
        <v>4</v>
      </c>
      <c r="F1" s="7" t="s">
        <v>5</v>
      </c>
      <c r="G1" s="6" t="s">
        <v>6</v>
      </c>
      <c r="H1" s="6" t="s">
        <v>8</v>
      </c>
      <c r="I1" s="6" t="s">
        <v>7</v>
      </c>
      <c r="J1" s="6" t="s">
        <v>316</v>
      </c>
      <c r="K1" s="6" t="s">
        <v>315</v>
      </c>
      <c r="L1" s="6" t="s">
        <v>314</v>
      </c>
      <c r="M1" s="7" t="s">
        <v>317</v>
      </c>
      <c r="N1" s="7" t="s">
        <v>318</v>
      </c>
      <c r="O1" s="2" t="str" cm="1">
        <f t="array" aca="1" ref="O1" ca="1">テーブル定義コード_全体</f>
        <v xml:space="preserve">_x000D_
// SWRTコマンド1のデータ_x000D_
const struct swrt_address_tag	swrt_1[] = {_x000D_
	{(UC*)&amp;GA500_SwrtData1.fc10_tx.buff,				1*14},	//   0	100h	使:13(空: 1)_x000D_
	{(UC*)&amp;GA500_SwrtData1.fc10_rx.buff,				1*8},	//  28	11Ch	使: 8(空: 0)_x000D_
	{(UC*)&amp;GA500_SwrtData1.fc03_1_tx.buff,				1*8},	//  44	12Ch	使: 8(空: 0)_x000D_
	{(UC*)&amp;GA500_SwrtData1.fc03_1_rx.buff,				1*32},	//  60	13Ch	使:21(空:11)_x000D_
	{(UC*)&amp;GA500_SwrtData1.fc03_2_tx.buff,				1*8},	// 124	17Ch	使: 8(空: 0)_x000D_
	{(UC*)&amp;GA500_SwrtData1.fc03_2_rx.buff,				1*8},	// 140	18Ch	使: 7(空: 1)_x000D_
	{(UC*)&amp;GA500_SwrtData1.fc03_3_tx.buff,				1*8},	// 156	19Ch	使: 8(空: 0)_x000D_
	{(UC*)&amp;GA500_SwrtData1.fc03_3_rx.buff,				1*8},	// 172	1ACh	使: 7(空: 1)_x000D_
	{(UC*)&amp;GA500_SwrtData1.set_hz,						2*1},	// 188	1BCh	ポンプ1 指令Hz_x000D_
	{(UC*)&amp;GA500_SwrtData1.mon_hz,						2*1},	// 192	1C0h	ポンプ1 実Hz_x000D_
	{(UC*)&amp;GA500_SwrtData1.run,							2*1},	// 196	1C4h	ポンプ1 運転/停止_x000D_
	{(UC*)&amp;GA500_SwrtData2.set_hz,						2*1},	// 200	1C8h	ポンプ2 指令Hz_x000D_
	{(UC*)&amp;GA500_SwrtData2.mon_hz,						2*1},	// 204	1CCh	ポンプ2 実Hz_x000D_
	{(UC*)&amp;GA500_SwrtData2.run,							2*1},	// 208	1D0h	ポンプ2 運転/停止_x000D_
	{0,0}_x000D_
};_x000D_
</v>
      </c>
      <c r="P1" t="str" cm="1">
        <f t="array" aca="1" ref="P1" ca="1">テーブル定義コード_先頭行</f>
        <v>_x000D_
// SWRTコマンド1のデータ_x000D_
const struct swrt_address_tag	swrt_1[] = {</v>
      </c>
    </row>
    <row r="2" spans="1:16">
      <c r="A2" s="17" t="s">
        <v>296</v>
      </c>
      <c r="B2" s="17" t="s">
        <v>329</v>
      </c>
      <c r="C2" s="17">
        <v>1</v>
      </c>
      <c r="D2" s="17">
        <v>14</v>
      </c>
      <c r="E2" s="18" t="s">
        <v>310</v>
      </c>
      <c r="F2" s="18" t="s">
        <v>310</v>
      </c>
      <c r="G2" s="17" t="s">
        <v>196</v>
      </c>
      <c r="H2" s="17" t="s">
        <v>319</v>
      </c>
      <c r="I2" s="8" cm="1">
        <f t="array" aca="1" ref="I2" ca="1">IF(isEmptyRow,"",F_code)</f>
        <v>65</v>
      </c>
      <c r="J2" s="8" cm="1">
        <f t="array" aca="1" ref="J2" ca="1">IF(isEmptyRow,"",INDIRECT("C"&amp;ROW())*INDIRECT("D"&amp;ROW()))</f>
        <v>14</v>
      </c>
      <c r="K2" s="8" cm="1">
        <f t="array" aca="1" ref="K2" ca="1">IF(isEmptyRow,"",J2*2)</f>
        <v>28</v>
      </c>
      <c r="L2" s="8" cm="1">
        <f t="array" aca="1" ref="L2" ca="1">IF(isEmptyRow,"",F_offset)</f>
        <v>0</v>
      </c>
      <c r="M2" s="9" t="str" cm="1">
        <f t="array" aca="1" ref="M2" ca="1">IF(isEmptyRow,"",F_address)</f>
        <v>100</v>
      </c>
      <c r="N2" s="14" cm="1">
        <f t="array" aca="1" ref="N2" ca="1">F_残</f>
        <v>220</v>
      </c>
      <c r="P2" t="str" cm="1">
        <f t="array" aca="1" ref="P2" ca="1">IF(isDataRow,テーブル定義コード_データ行,IF(isTermRow,テーブル定義コード_番兵行,IF(isCloseRow,テーブル定義コード_最終行,"")))</f>
        <v xml:space="preserve">	{(UC*)&amp;GA500_SwrtData1.fc10_tx.buff,				1*14},	//   0	100h	使:13(空: 1)</v>
      </c>
    </row>
    <row r="3" spans="1:16">
      <c r="A3" s="19" t="s">
        <v>297</v>
      </c>
      <c r="B3" s="19" t="s">
        <v>283</v>
      </c>
      <c r="C3" s="19">
        <v>1</v>
      </c>
      <c r="D3" s="19">
        <v>8</v>
      </c>
      <c r="E3" s="20" t="s">
        <v>310</v>
      </c>
      <c r="F3" s="20" t="s">
        <v>310</v>
      </c>
      <c r="G3" s="19" t="s">
        <v>196</v>
      </c>
      <c r="H3" s="19" t="s">
        <v>320</v>
      </c>
      <c r="I3" s="10" cm="1">
        <f t="array" aca="1" ref="I3" ca="1">IF(isEmptyRow,"",F_code)</f>
        <v>65</v>
      </c>
      <c r="J3" s="10" cm="1">
        <f t="array" aca="1" ref="J3" ca="1">IF(isEmptyRow,"",INDIRECT("C"&amp;ROW())*INDIRECT("D"&amp;ROW()))</f>
        <v>8</v>
      </c>
      <c r="K3" s="10" cm="1">
        <f t="array" aca="1" ref="K3" ca="1">IF(isEmptyRow,"",J3*2)</f>
        <v>16</v>
      </c>
      <c r="L3" s="10" cm="1">
        <f t="array" aca="1" ref="L3" ca="1">IF(isEmptyRow,"",F_offset)</f>
        <v>28</v>
      </c>
      <c r="M3" s="11" t="str" cm="1">
        <f t="array" aca="1" ref="M3" ca="1">IF(isEmptyRow,"",F_address)</f>
        <v>11C</v>
      </c>
      <c r="N3" s="15" cm="1">
        <f t="array" aca="1" ref="N3" ca="1">F_残</f>
        <v>204</v>
      </c>
      <c r="P3" t="str" cm="1">
        <f t="array" aca="1" ref="P3" ca="1">IF(isDataRow,テーブル定義コード_データ行,IF(isTermRow,テーブル定義コード_番兵行,IF(isCloseRow,テーブル定義コード_最終行,"")))</f>
        <v xml:space="preserve">	{(UC*)&amp;GA500_SwrtData1.fc10_rx.buff,				1*8},	//  28	11Ch	使: 8(空: 0)</v>
      </c>
    </row>
    <row r="4" spans="1:16">
      <c r="A4" s="19" t="s">
        <v>298</v>
      </c>
      <c r="B4" s="19" t="s">
        <v>284</v>
      </c>
      <c r="C4" s="19">
        <v>1</v>
      </c>
      <c r="D4" s="19">
        <v>8</v>
      </c>
      <c r="E4" s="20" t="s">
        <v>310</v>
      </c>
      <c r="F4" s="20" t="s">
        <v>310</v>
      </c>
      <c r="G4" s="19" t="s">
        <v>196</v>
      </c>
      <c r="H4" s="19" t="s">
        <v>320</v>
      </c>
      <c r="I4" s="10" cm="1">
        <f t="array" aca="1" ref="I4" ca="1">IF(isEmptyRow,"",F_code)</f>
        <v>65</v>
      </c>
      <c r="J4" s="10" cm="1">
        <f t="array" aca="1" ref="J4" ca="1">IF(isEmptyRow,"",INDIRECT("C"&amp;ROW())*INDIRECT("D"&amp;ROW()))</f>
        <v>8</v>
      </c>
      <c r="K4" s="10" cm="1">
        <f t="array" aca="1" ref="K4" ca="1">IF(isEmptyRow,"",J4*2)</f>
        <v>16</v>
      </c>
      <c r="L4" s="10" cm="1">
        <f t="array" aca="1" ref="L4" ca="1">IF(isEmptyRow,"",F_offset)</f>
        <v>44</v>
      </c>
      <c r="M4" s="11" t="str" cm="1">
        <f t="array" aca="1" ref="M4" ca="1">IF(isEmptyRow,"",F_address)</f>
        <v>12C</v>
      </c>
      <c r="N4" s="15" cm="1">
        <f t="array" aca="1" ref="N4" ca="1">F_残</f>
        <v>188</v>
      </c>
      <c r="P4" t="str" cm="1">
        <f t="array" aca="1" ref="P4" ca="1">IF(isDataRow,テーブル定義コード_データ行,IF(isTermRow,テーブル定義コード_番兵行,IF(isCloseRow,テーブル定義コード_最終行,"")))</f>
        <v xml:space="preserve">	{(UC*)&amp;GA500_SwrtData1.fc03_1_tx.buff,				1*8},	//  44	12Ch	使: 8(空: 0)</v>
      </c>
    </row>
    <row r="5" spans="1:16">
      <c r="A5" s="19" t="s">
        <v>299</v>
      </c>
      <c r="B5" s="19" t="s">
        <v>285</v>
      </c>
      <c r="C5" s="19">
        <v>1</v>
      </c>
      <c r="D5" s="19">
        <v>32</v>
      </c>
      <c r="E5" s="20" t="s">
        <v>310</v>
      </c>
      <c r="F5" s="20" t="s">
        <v>310</v>
      </c>
      <c r="G5" s="19" t="s">
        <v>196</v>
      </c>
      <c r="H5" s="19" t="s">
        <v>321</v>
      </c>
      <c r="I5" s="10" cm="1">
        <f t="array" aca="1" ref="I5" ca="1">IF(isEmptyRow,"",F_code)</f>
        <v>65</v>
      </c>
      <c r="J5" s="10" cm="1">
        <f t="array" aca="1" ref="J5" ca="1">IF(isEmptyRow,"",INDIRECT("C"&amp;ROW())*INDIRECT("D"&amp;ROW()))</f>
        <v>32</v>
      </c>
      <c r="K5" s="10" cm="1">
        <f t="array" aca="1" ref="K5" ca="1">IF(isEmptyRow,"",J5*2)</f>
        <v>64</v>
      </c>
      <c r="L5" s="10" cm="1">
        <f t="array" aca="1" ref="L5" ca="1">IF(isEmptyRow,"",F_offset)</f>
        <v>60</v>
      </c>
      <c r="M5" s="11" t="str" cm="1">
        <f t="array" aca="1" ref="M5" ca="1">IF(isEmptyRow,"",F_address)</f>
        <v>13C</v>
      </c>
      <c r="N5" s="15" cm="1">
        <f t="array" aca="1" ref="N5" ca="1">F_残</f>
        <v>124</v>
      </c>
      <c r="P5" t="str" cm="1">
        <f t="array" aca="1" ref="P5" ca="1">IF(isDataRow,テーブル定義コード_データ行,IF(isTermRow,テーブル定義コード_番兵行,IF(isCloseRow,テーブル定義コード_最終行,"")))</f>
        <v xml:space="preserve">	{(UC*)&amp;GA500_SwrtData1.fc03_1_rx.buff,				1*32},	//  60	13Ch	使:21(空:11)</v>
      </c>
    </row>
    <row r="6" spans="1:16">
      <c r="A6" s="19" t="s">
        <v>300</v>
      </c>
      <c r="B6" s="19" t="s">
        <v>286</v>
      </c>
      <c r="C6" s="19">
        <v>1</v>
      </c>
      <c r="D6" s="19">
        <v>8</v>
      </c>
      <c r="E6" s="20" t="s">
        <v>310</v>
      </c>
      <c r="F6" s="20" t="s">
        <v>310</v>
      </c>
      <c r="G6" s="19" t="s">
        <v>196</v>
      </c>
      <c r="H6" s="19" t="s">
        <v>320</v>
      </c>
      <c r="I6" s="10" cm="1">
        <f t="array" aca="1" ref="I6" ca="1">IF(isEmptyRow,"",F_code)</f>
        <v>65</v>
      </c>
      <c r="J6" s="10" cm="1">
        <f t="array" aca="1" ref="J6" ca="1">IF(isEmptyRow,"",INDIRECT("C"&amp;ROW())*INDIRECT("D"&amp;ROW()))</f>
        <v>8</v>
      </c>
      <c r="K6" s="10" cm="1">
        <f t="array" aca="1" ref="K6" ca="1">IF(isEmptyRow,"",J6*2)</f>
        <v>16</v>
      </c>
      <c r="L6" s="10" cm="1">
        <f t="array" aca="1" ref="L6" ca="1">IF(isEmptyRow,"",F_offset)</f>
        <v>124</v>
      </c>
      <c r="M6" s="11" t="str" cm="1">
        <f t="array" aca="1" ref="M6" ca="1">IF(isEmptyRow,"",F_address)</f>
        <v>17C</v>
      </c>
      <c r="N6" s="15" cm="1">
        <f t="array" aca="1" ref="N6" ca="1">F_残</f>
        <v>108</v>
      </c>
      <c r="P6" t="str" cm="1">
        <f t="array" aca="1" ref="P6" ca="1">IF(isDataRow,テーブル定義コード_データ行,IF(isTermRow,テーブル定義コード_番兵行,IF(isCloseRow,テーブル定義コード_最終行,"")))</f>
        <v xml:space="preserve">	{(UC*)&amp;GA500_SwrtData1.fc03_2_tx.buff,				1*8},	// 124	17Ch	使: 8(空: 0)</v>
      </c>
    </row>
    <row r="7" spans="1:16">
      <c r="A7" s="19" t="s">
        <v>301</v>
      </c>
      <c r="B7" s="19" t="s">
        <v>287</v>
      </c>
      <c r="C7" s="19">
        <v>1</v>
      </c>
      <c r="D7" s="19">
        <v>8</v>
      </c>
      <c r="E7" s="20" t="s">
        <v>310</v>
      </c>
      <c r="F7" s="20" t="s">
        <v>310</v>
      </c>
      <c r="G7" s="19" t="s">
        <v>196</v>
      </c>
      <c r="H7" s="19" t="s">
        <v>322</v>
      </c>
      <c r="I7" s="10" cm="1">
        <f t="array" aca="1" ref="I7" ca="1">IF(isEmptyRow,"",F_code)</f>
        <v>65</v>
      </c>
      <c r="J7" s="10" cm="1">
        <f t="array" aca="1" ref="J7" ca="1">IF(isEmptyRow,"",INDIRECT("C"&amp;ROW())*INDIRECT("D"&amp;ROW()))</f>
        <v>8</v>
      </c>
      <c r="K7" s="10" cm="1">
        <f t="array" aca="1" ref="K7" ca="1">IF(isEmptyRow,"",J7*2)</f>
        <v>16</v>
      </c>
      <c r="L7" s="10" cm="1">
        <f t="array" aca="1" ref="L7" ca="1">IF(isEmptyRow,"",F_offset)</f>
        <v>140</v>
      </c>
      <c r="M7" s="11" t="str" cm="1">
        <f t="array" aca="1" ref="M7" ca="1">IF(isEmptyRow,"",F_address)</f>
        <v>18C</v>
      </c>
      <c r="N7" s="15" cm="1">
        <f t="array" aca="1" ref="N7" ca="1">F_残</f>
        <v>92</v>
      </c>
      <c r="P7" t="str" cm="1">
        <f t="array" aca="1" ref="P7" ca="1">IF(isDataRow,テーブル定義コード_データ行,IF(isTermRow,テーブル定義コード_番兵行,IF(isCloseRow,テーブル定義コード_最終行,"")))</f>
        <v xml:space="preserve">	{(UC*)&amp;GA500_SwrtData1.fc03_2_rx.buff,				1*8},	// 140	18Ch	使: 7(空: 1)</v>
      </c>
    </row>
    <row r="8" spans="1:16">
      <c r="A8" s="19" t="s">
        <v>302</v>
      </c>
      <c r="B8" s="19" t="s">
        <v>288</v>
      </c>
      <c r="C8" s="19">
        <v>1</v>
      </c>
      <c r="D8" s="19">
        <v>8</v>
      </c>
      <c r="E8" s="20" t="s">
        <v>310</v>
      </c>
      <c r="F8" s="20" t="s">
        <v>310</v>
      </c>
      <c r="G8" s="19" t="s">
        <v>196</v>
      </c>
      <c r="H8" s="19" t="s">
        <v>320</v>
      </c>
      <c r="I8" s="10" cm="1">
        <f t="array" aca="1" ref="I8" ca="1">IF(isEmptyRow,"",F_code)</f>
        <v>65</v>
      </c>
      <c r="J8" s="10" cm="1">
        <f t="array" aca="1" ref="J8" ca="1">IF(isEmptyRow,"",INDIRECT("C"&amp;ROW())*INDIRECT("D"&amp;ROW()))</f>
        <v>8</v>
      </c>
      <c r="K8" s="10" cm="1">
        <f t="array" aca="1" ref="K8" ca="1">IF(isEmptyRow,"",J8*2)</f>
        <v>16</v>
      </c>
      <c r="L8" s="10" cm="1">
        <f t="array" aca="1" ref="L8" ca="1">IF(isEmptyRow,"",F_offset)</f>
        <v>156</v>
      </c>
      <c r="M8" s="11" t="str" cm="1">
        <f t="array" aca="1" ref="M8" ca="1">IF(isEmptyRow,"",F_address)</f>
        <v>19C</v>
      </c>
      <c r="N8" s="15" cm="1">
        <f t="array" aca="1" ref="N8" ca="1">F_残</f>
        <v>76</v>
      </c>
      <c r="P8" t="str" cm="1">
        <f t="array" aca="1" ref="P8" ca="1">IF(isDataRow,テーブル定義コード_データ行,IF(isTermRow,テーブル定義コード_番兵行,IF(isCloseRow,テーブル定義コード_最終行,"")))</f>
        <v xml:space="preserve">	{(UC*)&amp;GA500_SwrtData1.fc03_3_tx.buff,				1*8},	// 156	19Ch	使: 8(空: 0)</v>
      </c>
    </row>
    <row r="9" spans="1:16">
      <c r="A9" s="19" t="s">
        <v>303</v>
      </c>
      <c r="B9" s="19" t="s">
        <v>289</v>
      </c>
      <c r="C9" s="19">
        <v>1</v>
      </c>
      <c r="D9" s="19">
        <v>8</v>
      </c>
      <c r="E9" s="20" t="s">
        <v>310</v>
      </c>
      <c r="F9" s="20" t="s">
        <v>310</v>
      </c>
      <c r="G9" s="19" t="s">
        <v>312</v>
      </c>
      <c r="H9" s="19" t="s">
        <v>322</v>
      </c>
      <c r="I9" s="10" cm="1">
        <f t="array" aca="1" ref="I9" ca="1">IF(isEmptyRow,"",F_code)</f>
        <v>65</v>
      </c>
      <c r="J9" s="10" cm="1">
        <f t="array" aca="1" ref="J9" ca="1">IF(isEmptyRow,"",INDIRECT("C"&amp;ROW())*INDIRECT("D"&amp;ROW()))</f>
        <v>8</v>
      </c>
      <c r="K9" s="10" cm="1">
        <f t="array" aca="1" ref="K9" ca="1">IF(isEmptyRow,"",J9*2)</f>
        <v>16</v>
      </c>
      <c r="L9" s="10" cm="1">
        <f t="array" aca="1" ref="L9" ca="1">IF(isEmptyRow,"",F_offset)</f>
        <v>172</v>
      </c>
      <c r="M9" s="11" t="str" cm="1">
        <f t="array" aca="1" ref="M9" ca="1">IF(isEmptyRow,"",F_address)</f>
        <v>1AC</v>
      </c>
      <c r="N9" s="15" cm="1">
        <f t="array" aca="1" ref="N9" ca="1">F_残</f>
        <v>60</v>
      </c>
      <c r="P9" t="str" cm="1">
        <f t="array" aca="1" ref="P9" ca="1">IF(isDataRow,テーブル定義コード_データ行,IF(isTermRow,テーブル定義コード_番兵行,IF(isCloseRow,テーブル定義コード_最終行,"")))</f>
        <v xml:space="preserve">	{(UC*)&amp;GA500_SwrtData1.fc03_3_rx.buff,				1*8},	// 172	1ACh	使: 7(空: 1)</v>
      </c>
    </row>
    <row r="10" spans="1:16">
      <c r="A10" s="19" t="s">
        <v>304</v>
      </c>
      <c r="B10" s="19" t="s">
        <v>290</v>
      </c>
      <c r="C10" s="19">
        <v>2</v>
      </c>
      <c r="D10" s="19">
        <v>1</v>
      </c>
      <c r="E10" s="20" t="s">
        <v>311</v>
      </c>
      <c r="F10" s="20">
        <v>0.01</v>
      </c>
      <c r="G10" s="19" t="s">
        <v>108</v>
      </c>
      <c r="H10" s="19" t="s">
        <v>323</v>
      </c>
      <c r="I10" s="10" cm="1">
        <f t="array" aca="1" ref="I10" ca="1">IF(isEmptyRow,"",F_code)</f>
        <v>200</v>
      </c>
      <c r="J10" s="10" cm="1">
        <f t="array" aca="1" ref="J10" ca="1">IF(isEmptyRow,"",INDIRECT("C"&amp;ROW())*INDIRECT("D"&amp;ROW()))</f>
        <v>2</v>
      </c>
      <c r="K10" s="10" cm="1">
        <f t="array" aca="1" ref="K10" ca="1">IF(isEmptyRow,"",J10*2)</f>
        <v>4</v>
      </c>
      <c r="L10" s="10" cm="1">
        <f t="array" aca="1" ref="L10" ca="1">IF(isEmptyRow,"",F_offset)</f>
        <v>188</v>
      </c>
      <c r="M10" s="11" t="str" cm="1">
        <f t="array" aca="1" ref="M10" ca="1">IF(isEmptyRow,"",F_address)</f>
        <v>1BC</v>
      </c>
      <c r="N10" s="15" cm="1">
        <f t="array" aca="1" ref="N10" ca="1">F_残</f>
        <v>56</v>
      </c>
      <c r="P10" t="str" cm="1">
        <f t="array" aca="1" ref="P10" ca="1">IF(isDataRow,テーブル定義コード_データ行,IF(isTermRow,テーブル定義コード_番兵行,IF(isCloseRow,テーブル定義コード_最終行,"")))</f>
        <v xml:space="preserve">	{(UC*)&amp;GA500_SwrtData1.set_hz,						2*1},	// 188	1BCh	ポンプ1 指令Hz</v>
      </c>
    </row>
    <row r="11" spans="1:16">
      <c r="A11" s="19" t="s">
        <v>305</v>
      </c>
      <c r="B11" s="19" t="s">
        <v>291</v>
      </c>
      <c r="C11" s="19">
        <v>2</v>
      </c>
      <c r="D11" s="19">
        <v>1</v>
      </c>
      <c r="E11" s="20" t="s">
        <v>311</v>
      </c>
      <c r="F11" s="20">
        <v>0.01</v>
      </c>
      <c r="G11" s="19" t="s">
        <v>108</v>
      </c>
      <c r="H11" s="19" t="s">
        <v>324</v>
      </c>
      <c r="I11" s="10" cm="1">
        <f t="array" aca="1" ref="I11" ca="1">IF(isEmptyRow,"",F_code)</f>
        <v>200</v>
      </c>
      <c r="J11" s="10" cm="1">
        <f t="array" aca="1" ref="J11" ca="1">IF(isEmptyRow,"",INDIRECT("C"&amp;ROW())*INDIRECT("D"&amp;ROW()))</f>
        <v>2</v>
      </c>
      <c r="K11" s="10" cm="1">
        <f t="array" aca="1" ref="K11" ca="1">IF(isEmptyRow,"",J11*2)</f>
        <v>4</v>
      </c>
      <c r="L11" s="10" cm="1">
        <f t="array" aca="1" ref="L11" ca="1">IF(isEmptyRow,"",F_offset)</f>
        <v>192</v>
      </c>
      <c r="M11" s="11" t="str" cm="1">
        <f t="array" aca="1" ref="M11" ca="1">IF(isEmptyRow,"",F_address)</f>
        <v>1C0</v>
      </c>
      <c r="N11" s="15" cm="1">
        <f t="array" aca="1" ref="N11" ca="1">F_残</f>
        <v>52</v>
      </c>
      <c r="P11" t="str" cm="1">
        <f t="array" aca="1" ref="P11" ca="1">IF(isDataRow,テーブル定義コード_データ行,IF(isTermRow,テーブル定義コード_番兵行,IF(isCloseRow,テーブル定義コード_最終行,"")))</f>
        <v xml:space="preserve">	{(UC*)&amp;GA500_SwrtData1.mon_hz,						2*1},	// 192	1C0h	ポンプ1 実Hz</v>
      </c>
    </row>
    <row r="12" spans="1:16">
      <c r="A12" s="19" t="s">
        <v>306</v>
      </c>
      <c r="B12" s="19" t="s">
        <v>292</v>
      </c>
      <c r="C12" s="19">
        <v>2</v>
      </c>
      <c r="D12" s="19">
        <v>1</v>
      </c>
      <c r="E12" s="20" t="s">
        <v>310</v>
      </c>
      <c r="F12" s="20" t="s">
        <v>310</v>
      </c>
      <c r="G12" s="19" t="s">
        <v>313</v>
      </c>
      <c r="H12" s="19" t="s">
        <v>328</v>
      </c>
      <c r="I12" s="10" cm="1">
        <f t="array" aca="1" ref="I12" ca="1">IF(isEmptyRow,"",F_code)</f>
        <v>67</v>
      </c>
      <c r="J12" s="10" cm="1">
        <f t="array" aca="1" ref="J12" ca="1">IF(isEmptyRow,"",INDIRECT("C"&amp;ROW())*INDIRECT("D"&amp;ROW()))</f>
        <v>2</v>
      </c>
      <c r="K12" s="10" cm="1">
        <f t="array" aca="1" ref="K12" ca="1">IF(isEmptyRow,"",J12*2)</f>
        <v>4</v>
      </c>
      <c r="L12" s="10" cm="1">
        <f t="array" aca="1" ref="L12" ca="1">IF(isEmptyRow,"",F_offset)</f>
        <v>196</v>
      </c>
      <c r="M12" s="11" t="str" cm="1">
        <f t="array" aca="1" ref="M12" ca="1">IF(isEmptyRow,"",F_address)</f>
        <v>1C4</v>
      </c>
      <c r="N12" s="15" cm="1">
        <f t="array" aca="1" ref="N12" ca="1">F_残</f>
        <v>48</v>
      </c>
      <c r="P12" t="str" cm="1">
        <f t="array" aca="1" ref="P12" ca="1">IF(isDataRow,テーブル定義コード_データ行,IF(isTermRow,テーブル定義コード_番兵行,IF(isCloseRow,テーブル定義コード_最終行,"")))</f>
        <v xml:space="preserve">	{(UC*)&amp;GA500_SwrtData1.run,							2*1},	// 196	1C4h	ポンプ1 運転/停止</v>
      </c>
    </row>
    <row r="13" spans="1:16">
      <c r="A13" s="19" t="s">
        <v>307</v>
      </c>
      <c r="B13" s="19" t="s">
        <v>293</v>
      </c>
      <c r="C13" s="19">
        <v>2</v>
      </c>
      <c r="D13" s="19">
        <v>1</v>
      </c>
      <c r="E13" s="20" t="s">
        <v>311</v>
      </c>
      <c r="F13" s="20">
        <v>0.01</v>
      </c>
      <c r="G13" s="19" t="s">
        <v>108</v>
      </c>
      <c r="H13" s="19" t="s">
        <v>325</v>
      </c>
      <c r="I13" s="10" cm="1">
        <f t="array" aca="1" ref="I13" ca="1">IF(isEmptyRow,"",F_code)</f>
        <v>200</v>
      </c>
      <c r="J13" s="10" cm="1">
        <f t="array" aca="1" ref="J13" ca="1">IF(isEmptyRow,"",INDIRECT("C"&amp;ROW())*INDIRECT("D"&amp;ROW()))</f>
        <v>2</v>
      </c>
      <c r="K13" s="10" cm="1">
        <f t="array" aca="1" ref="K13" ca="1">IF(isEmptyRow,"",J13*2)</f>
        <v>4</v>
      </c>
      <c r="L13" s="10" cm="1">
        <f t="array" aca="1" ref="L13" ca="1">IF(isEmptyRow,"",F_offset)</f>
        <v>200</v>
      </c>
      <c r="M13" s="11" t="str" cm="1">
        <f t="array" aca="1" ref="M13" ca="1">IF(isEmptyRow,"",F_address)</f>
        <v>1C8</v>
      </c>
      <c r="N13" s="15" cm="1">
        <f t="array" aca="1" ref="N13" ca="1">F_残</f>
        <v>44</v>
      </c>
      <c r="P13" t="str" cm="1">
        <f t="array" aca="1" ref="P13" ca="1">IF(isDataRow,テーブル定義コード_データ行,IF(isTermRow,テーブル定義コード_番兵行,IF(isCloseRow,テーブル定義コード_最終行,"")))</f>
        <v xml:space="preserve">	{(UC*)&amp;GA500_SwrtData2.set_hz,						2*1},	// 200	1C8h	ポンプ2 指令Hz</v>
      </c>
    </row>
    <row r="14" spans="1:16">
      <c r="A14" s="19" t="s">
        <v>308</v>
      </c>
      <c r="B14" s="19" t="s">
        <v>294</v>
      </c>
      <c r="C14" s="19">
        <v>2</v>
      </c>
      <c r="D14" s="19">
        <v>1</v>
      </c>
      <c r="E14" s="20" t="s">
        <v>311</v>
      </c>
      <c r="F14" s="20">
        <v>0.01</v>
      </c>
      <c r="G14" s="19" t="s">
        <v>108</v>
      </c>
      <c r="H14" s="19" t="s">
        <v>326</v>
      </c>
      <c r="I14" s="10" cm="1">
        <f t="array" aca="1" ref="I14" ca="1">IF(isEmptyRow,"",F_code)</f>
        <v>200</v>
      </c>
      <c r="J14" s="10" cm="1">
        <f t="array" aca="1" ref="J14" ca="1">IF(isEmptyRow,"",INDIRECT("C"&amp;ROW())*INDIRECT("D"&amp;ROW()))</f>
        <v>2</v>
      </c>
      <c r="K14" s="10" cm="1">
        <f t="array" aca="1" ref="K14" ca="1">IF(isEmptyRow,"",J14*2)</f>
        <v>4</v>
      </c>
      <c r="L14" s="10" cm="1">
        <f t="array" aca="1" ref="L14" ca="1">IF(isEmptyRow,"",F_offset)</f>
        <v>204</v>
      </c>
      <c r="M14" s="11" t="str" cm="1">
        <f t="array" aca="1" ref="M14" ca="1">IF(isEmptyRow,"",F_address)</f>
        <v>1CC</v>
      </c>
      <c r="N14" s="15" cm="1">
        <f t="array" aca="1" ref="N14" ca="1">F_残</f>
        <v>40</v>
      </c>
      <c r="P14" t="str" cm="1">
        <f t="array" aca="1" ref="P14" ca="1">IF(isDataRow,テーブル定義コード_データ行,IF(isTermRow,テーブル定義コード_番兵行,IF(isCloseRow,テーブル定義コード_最終行,"")))</f>
        <v xml:space="preserve">	{(UC*)&amp;GA500_SwrtData2.mon_hz,						2*1},	// 204	1CCh	ポンプ2 実Hz</v>
      </c>
    </row>
    <row r="15" spans="1:16">
      <c r="A15" s="19" t="s">
        <v>309</v>
      </c>
      <c r="B15" s="19" t="s">
        <v>295</v>
      </c>
      <c r="C15" s="19">
        <v>2</v>
      </c>
      <c r="D15" s="19">
        <v>1</v>
      </c>
      <c r="E15" s="20" t="s">
        <v>310</v>
      </c>
      <c r="F15" s="20" t="s">
        <v>310</v>
      </c>
      <c r="G15" s="19" t="s">
        <v>313</v>
      </c>
      <c r="H15" s="19" t="s">
        <v>327</v>
      </c>
      <c r="I15" s="10" cm="1">
        <f t="array" aca="1" ref="I15" ca="1">IF(isEmptyRow,"",F_code)</f>
        <v>67</v>
      </c>
      <c r="J15" s="10" cm="1">
        <f t="array" aca="1" ref="J15" ca="1">IF(isEmptyRow,"",INDIRECT("C"&amp;ROW())*INDIRECT("D"&amp;ROW()))</f>
        <v>2</v>
      </c>
      <c r="K15" s="10" cm="1">
        <f t="array" aca="1" ref="K15" ca="1">IF(isEmptyRow,"",J15*2)</f>
        <v>4</v>
      </c>
      <c r="L15" s="10" cm="1">
        <f t="array" aca="1" ref="L15" ca="1">IF(isEmptyRow,"",F_offset)</f>
        <v>208</v>
      </c>
      <c r="M15" s="11" t="str" cm="1">
        <f t="array" aca="1" ref="M15" ca="1">IF(isEmptyRow,"",F_address)</f>
        <v>1D0</v>
      </c>
      <c r="N15" s="15" cm="1">
        <f t="array" aca="1" ref="N15" ca="1">F_残</f>
        <v>36</v>
      </c>
      <c r="P15" t="str" cm="1">
        <f t="array" aca="1" ref="P15" ca="1">IF(isDataRow,テーブル定義コード_データ行,IF(isTermRow,テーブル定義コード_番兵行,IF(isCloseRow,テーブル定義コード_最終行,"")))</f>
        <v xml:space="preserve">	{(UC*)&amp;GA500_SwrtData2.run,							2*1},	// 208	1D0h	ポンプ2 運転/停止</v>
      </c>
    </row>
    <row r="16" spans="1:16">
      <c r="A16" s="19"/>
      <c r="B16" s="19"/>
      <c r="C16" s="19"/>
      <c r="D16" s="19"/>
      <c r="E16" s="20"/>
      <c r="F16" s="20"/>
      <c r="G16" s="19"/>
      <c r="H16" s="19"/>
      <c r="I16" s="10" t="str" cm="1">
        <f t="array" aca="1" ref="I16" ca="1">IF(isEmptyRow,"",F_code)</f>
        <v/>
      </c>
      <c r="J16" s="10" t="str" cm="1">
        <f t="array" aca="1" ref="J16" ca="1">IF(isEmptyRow,"",INDIRECT("C"&amp;ROW())*INDIRECT("D"&amp;ROW()))</f>
        <v/>
      </c>
      <c r="K16" s="10" t="str" cm="1">
        <f t="array" aca="1" ref="K16" ca="1">IF(isEmptyRow,"",J16*2)</f>
        <v/>
      </c>
      <c r="L16" s="10" t="str" cm="1">
        <f t="array" aca="1" ref="L16" ca="1">IF(isEmptyRow,"",F_offset)</f>
        <v/>
      </c>
      <c r="M16" s="11" t="str" cm="1">
        <f t="array" aca="1" ref="M16" ca="1">IF(isEmptyRow,"",F_address)</f>
        <v/>
      </c>
      <c r="N16" s="15" cm="1">
        <f t="array" aca="1" ref="N16" ca="1">F_残</f>
        <v>36</v>
      </c>
      <c r="P16" t="str" cm="1">
        <f t="array" aca="1" ref="P16" ca="1">IF(isDataRow,テーブル定義コード_データ行,IF(isTermRow,テーブル定義コード_番兵行,IF(isCloseRow,テーブル定義コード_最終行,"")))</f>
        <v xml:space="preserve">	{0,0}</v>
      </c>
    </row>
    <row r="17" spans="1:16">
      <c r="A17" s="19"/>
      <c r="B17" s="19"/>
      <c r="C17" s="19"/>
      <c r="D17" s="19"/>
      <c r="E17" s="20"/>
      <c r="F17" s="20"/>
      <c r="G17" s="19"/>
      <c r="H17" s="19"/>
      <c r="I17" s="10" t="str" cm="1">
        <f t="array" aca="1" ref="I17" ca="1">IF(isEmptyRow,"",F_code)</f>
        <v/>
      </c>
      <c r="J17" s="10" t="str" cm="1">
        <f t="array" aca="1" ref="J17" ca="1">IF(isEmptyRow,"",INDIRECT("C"&amp;ROW())*INDIRECT("D"&amp;ROW()))</f>
        <v/>
      </c>
      <c r="K17" s="10" t="str" cm="1">
        <f t="array" aca="1" ref="K17" ca="1">IF(isEmptyRow,"",J17*2)</f>
        <v/>
      </c>
      <c r="L17" s="10" t="str" cm="1">
        <f t="array" aca="1" ref="L17" ca="1">IF(isEmptyRow,"",F_offset)</f>
        <v/>
      </c>
      <c r="M17" s="11" t="str" cm="1">
        <f t="array" aca="1" ref="M17" ca="1">IF(isEmptyRow,"",F_address)</f>
        <v/>
      </c>
      <c r="N17" s="15" cm="1">
        <f t="array" aca="1" ref="N17" ca="1">F_残</f>
        <v>36</v>
      </c>
      <c r="P17" t="str" cm="1">
        <f t="array" aca="1" ref="P17" ca="1">IF(isDataRow,テーブル定義コード_データ行,IF(isTermRow,テーブル定義コード_番兵行,IF(isCloseRow,テーブル定義コード_最終行,"")))</f>
        <v xml:space="preserve">};_x000D_
</v>
      </c>
    </row>
    <row r="18" spans="1:16">
      <c r="A18" s="19"/>
      <c r="B18" s="19"/>
      <c r="C18" s="19"/>
      <c r="D18" s="19"/>
      <c r="E18" s="20"/>
      <c r="F18" s="20"/>
      <c r="G18" s="19"/>
      <c r="H18" s="19"/>
      <c r="I18" s="10" t="str" cm="1">
        <f t="array" aca="1" ref="I18" ca="1">IF(isEmptyRow,"",F_code)</f>
        <v/>
      </c>
      <c r="J18" s="10" t="str" cm="1">
        <f t="array" aca="1" ref="J18" ca="1">IF(isEmptyRow,"",INDIRECT("C"&amp;ROW())*INDIRECT("D"&amp;ROW()))</f>
        <v/>
      </c>
      <c r="K18" s="10" t="str" cm="1">
        <f t="array" aca="1" ref="K18" ca="1">IF(isEmptyRow,"",J18*2)</f>
        <v/>
      </c>
      <c r="L18" s="10" t="str" cm="1">
        <f t="array" aca="1" ref="L18" ca="1">IF(isEmptyRow,"",F_offset)</f>
        <v/>
      </c>
      <c r="M18" s="11" t="str" cm="1">
        <f t="array" aca="1" ref="M18" ca="1">IF(isEmptyRow,"",F_address)</f>
        <v/>
      </c>
      <c r="N18" s="15" cm="1">
        <f t="array" aca="1" ref="N18" ca="1">F_残</f>
        <v>36</v>
      </c>
      <c r="P18" t="str" cm="1">
        <f t="array" aca="1" ref="P18" ca="1">IF(isDataRow,テーブル定義コード_データ行,IF(isTermRow,テーブル定義コード_番兵行,IF(isCloseRow,テーブル定義コード_最終行,"")))</f>
        <v/>
      </c>
    </row>
    <row r="19" spans="1:16">
      <c r="A19" s="19"/>
      <c r="B19" s="19"/>
      <c r="C19" s="19"/>
      <c r="D19" s="19"/>
      <c r="E19" s="20"/>
      <c r="F19" s="20"/>
      <c r="G19" s="19"/>
      <c r="H19" s="19"/>
      <c r="I19" s="10" t="str" cm="1">
        <f t="array" aca="1" ref="I19" ca="1">IF(isEmptyRow,"",F_code)</f>
        <v/>
      </c>
      <c r="J19" s="10" t="str" cm="1">
        <f t="array" aca="1" ref="J19" ca="1">IF(isEmptyRow,"",INDIRECT("C"&amp;ROW())*INDIRECT("D"&amp;ROW()))</f>
        <v/>
      </c>
      <c r="K19" s="10" t="str" cm="1">
        <f t="array" aca="1" ref="K19" ca="1">IF(isEmptyRow,"",J19*2)</f>
        <v/>
      </c>
      <c r="L19" s="10" t="str" cm="1">
        <f t="array" aca="1" ref="L19" ca="1">IF(isEmptyRow,"",F_offset)</f>
        <v/>
      </c>
      <c r="M19" s="11" t="str" cm="1">
        <f t="array" aca="1" ref="M19" ca="1">IF(isEmptyRow,"",F_address)</f>
        <v/>
      </c>
      <c r="N19" s="15" cm="1">
        <f t="array" aca="1" ref="N19" ca="1">F_残</f>
        <v>36</v>
      </c>
      <c r="P19" t="str" cm="1">
        <f t="array" aca="1" ref="P19" ca="1">IF(isDataRow,テーブル定義コード_データ行,IF(isTermRow,テーブル定義コード_番兵行,IF(isCloseRow,テーブル定義コード_最終行,"")))</f>
        <v/>
      </c>
    </row>
    <row r="20" spans="1:16">
      <c r="A20" s="19"/>
      <c r="B20" s="19"/>
      <c r="C20" s="19"/>
      <c r="D20" s="19"/>
      <c r="E20" s="20"/>
      <c r="F20" s="20"/>
      <c r="G20" s="19"/>
      <c r="H20" s="19"/>
      <c r="I20" s="10" t="str" cm="1">
        <f t="array" aca="1" ref="I20" ca="1">IF(isEmptyRow,"",F_code)</f>
        <v/>
      </c>
      <c r="J20" s="10" t="str" cm="1">
        <f t="array" aca="1" ref="J20" ca="1">IF(isEmptyRow,"",INDIRECT("C"&amp;ROW())*INDIRECT("D"&amp;ROW()))</f>
        <v/>
      </c>
      <c r="K20" s="10" t="str" cm="1">
        <f t="array" aca="1" ref="K20" ca="1">IF(isEmptyRow,"",J20*2)</f>
        <v/>
      </c>
      <c r="L20" s="10" t="str" cm="1">
        <f t="array" aca="1" ref="L20" ca="1">IF(isEmptyRow,"",F_offset)</f>
        <v/>
      </c>
      <c r="M20" s="11" t="str" cm="1">
        <f t="array" aca="1" ref="M20" ca="1">IF(isEmptyRow,"",F_address)</f>
        <v/>
      </c>
      <c r="N20" s="15" cm="1">
        <f t="array" aca="1" ref="N20" ca="1">F_残</f>
        <v>36</v>
      </c>
      <c r="P20" t="str" cm="1">
        <f t="array" aca="1" ref="P20" ca="1">IF(isDataRow,テーブル定義コード_データ行,IF(isTermRow,テーブル定義コード_番兵行,IF(isCloseRow,テーブル定義コード_最終行,"")))</f>
        <v/>
      </c>
    </row>
    <row r="21" spans="1:16">
      <c r="A21" s="19"/>
      <c r="B21" s="19"/>
      <c r="C21" s="19"/>
      <c r="D21" s="19"/>
      <c r="E21" s="20"/>
      <c r="F21" s="20"/>
      <c r="G21" s="19"/>
      <c r="H21" s="19"/>
      <c r="I21" s="10" t="str" cm="1">
        <f t="array" aca="1" ref="I21" ca="1">IF(isEmptyRow,"",F_code)</f>
        <v/>
      </c>
      <c r="J21" s="10" t="str" cm="1">
        <f t="array" aca="1" ref="J21" ca="1">IF(isEmptyRow,"",INDIRECT("C"&amp;ROW())*INDIRECT("D"&amp;ROW()))</f>
        <v/>
      </c>
      <c r="K21" s="10" t="str" cm="1">
        <f t="array" aca="1" ref="K21" ca="1">IF(isEmptyRow,"",J21*2)</f>
        <v/>
      </c>
      <c r="L21" s="10" t="str" cm="1">
        <f t="array" aca="1" ref="L21" ca="1">IF(isEmptyRow,"",F_offset)</f>
        <v/>
      </c>
      <c r="M21" s="11" t="str" cm="1">
        <f t="array" aca="1" ref="M21" ca="1">IF(isEmptyRow,"",F_address)</f>
        <v/>
      </c>
      <c r="N21" s="15" cm="1">
        <f t="array" aca="1" ref="N21" ca="1">F_残</f>
        <v>36</v>
      </c>
      <c r="P21" t="str" cm="1">
        <f t="array" aca="1" ref="P21" ca="1">IF(isDataRow,テーブル定義コード_データ行,IF(isTermRow,テーブル定義コード_番兵行,IF(isCloseRow,テーブル定義コード_最終行,"")))</f>
        <v/>
      </c>
    </row>
    <row r="22" spans="1:16">
      <c r="A22" s="19"/>
      <c r="B22" s="19"/>
      <c r="C22" s="19"/>
      <c r="D22" s="19"/>
      <c r="E22" s="20"/>
      <c r="F22" s="20"/>
      <c r="G22" s="19"/>
      <c r="H22" s="19"/>
      <c r="I22" s="10" t="str" cm="1">
        <f t="array" aca="1" ref="I22" ca="1">IF(isEmptyRow,"",F_code)</f>
        <v/>
      </c>
      <c r="J22" s="10" t="str" cm="1">
        <f t="array" aca="1" ref="J22" ca="1">IF(isEmptyRow,"",INDIRECT("C"&amp;ROW())*INDIRECT("D"&amp;ROW()))</f>
        <v/>
      </c>
      <c r="K22" s="10" t="str" cm="1">
        <f t="array" aca="1" ref="K22" ca="1">IF(isEmptyRow,"",J22*2)</f>
        <v/>
      </c>
      <c r="L22" s="10" t="str" cm="1">
        <f t="array" aca="1" ref="L22" ca="1">IF(isEmptyRow,"",F_offset)</f>
        <v/>
      </c>
      <c r="M22" s="11" t="str" cm="1">
        <f t="array" aca="1" ref="M22" ca="1">IF(isEmptyRow,"",F_address)</f>
        <v/>
      </c>
      <c r="N22" s="15" cm="1">
        <f t="array" aca="1" ref="N22" ca="1">F_残</f>
        <v>36</v>
      </c>
      <c r="P22" t="str" cm="1">
        <f t="array" aca="1" ref="P22" ca="1">IF(isDataRow,テーブル定義コード_データ行,IF(isTermRow,テーブル定義コード_番兵行,IF(isCloseRow,テーブル定義コード_最終行,"")))</f>
        <v/>
      </c>
    </row>
    <row r="23" spans="1:16">
      <c r="A23" s="19"/>
      <c r="B23" s="19"/>
      <c r="C23" s="19"/>
      <c r="D23" s="19"/>
      <c r="E23" s="20"/>
      <c r="F23" s="20"/>
      <c r="G23" s="19"/>
      <c r="H23" s="19"/>
      <c r="I23" s="10" t="str" cm="1">
        <f t="array" aca="1" ref="I23" ca="1">IF(isEmptyRow,"",F_code)</f>
        <v/>
      </c>
      <c r="J23" s="10" t="str" cm="1">
        <f t="array" aca="1" ref="J23" ca="1">IF(isEmptyRow,"",INDIRECT("C"&amp;ROW())*INDIRECT("D"&amp;ROW()))</f>
        <v/>
      </c>
      <c r="K23" s="10" t="str" cm="1">
        <f t="array" aca="1" ref="K23" ca="1">IF(isEmptyRow,"",J23*2)</f>
        <v/>
      </c>
      <c r="L23" s="10" t="str" cm="1">
        <f t="array" aca="1" ref="L23" ca="1">IF(isEmptyRow,"",F_offset)</f>
        <v/>
      </c>
      <c r="M23" s="11" t="str" cm="1">
        <f t="array" aca="1" ref="M23" ca="1">IF(isEmptyRow,"",F_address)</f>
        <v/>
      </c>
      <c r="N23" s="15" cm="1">
        <f t="array" aca="1" ref="N23" ca="1">F_残</f>
        <v>36</v>
      </c>
      <c r="P23" t="str" cm="1">
        <f t="array" aca="1" ref="P23" ca="1">IF(isDataRow,テーブル定義コード_データ行,IF(isTermRow,テーブル定義コード_番兵行,IF(isCloseRow,テーブル定義コード_最終行,"")))</f>
        <v/>
      </c>
    </row>
    <row r="24" spans="1:16">
      <c r="A24" s="19"/>
      <c r="B24" s="19"/>
      <c r="C24" s="19"/>
      <c r="D24" s="19"/>
      <c r="E24" s="20"/>
      <c r="F24" s="20"/>
      <c r="G24" s="19"/>
      <c r="H24" s="19"/>
      <c r="I24" s="10" t="str" cm="1">
        <f t="array" aca="1" ref="I24" ca="1">IF(isEmptyRow,"",F_code)</f>
        <v/>
      </c>
      <c r="J24" s="10" t="str" cm="1">
        <f t="array" aca="1" ref="J24" ca="1">IF(isEmptyRow,"",INDIRECT("C"&amp;ROW())*INDIRECT("D"&amp;ROW()))</f>
        <v/>
      </c>
      <c r="K24" s="10" t="str" cm="1">
        <f t="array" aca="1" ref="K24" ca="1">IF(isEmptyRow,"",J24*2)</f>
        <v/>
      </c>
      <c r="L24" s="10" t="str" cm="1">
        <f t="array" aca="1" ref="L24" ca="1">IF(isEmptyRow,"",F_offset)</f>
        <v/>
      </c>
      <c r="M24" s="11" t="str" cm="1">
        <f t="array" aca="1" ref="M24" ca="1">IF(isEmptyRow,"",F_address)</f>
        <v/>
      </c>
      <c r="N24" s="15" cm="1">
        <f t="array" aca="1" ref="N24" ca="1">F_残</f>
        <v>36</v>
      </c>
      <c r="P24" t="str" cm="1">
        <f t="array" aca="1" ref="P24" ca="1">IF(isDataRow,テーブル定義コード_データ行,IF(isTermRow,テーブル定義コード_番兵行,IF(isCloseRow,テーブル定義コード_最終行,"")))</f>
        <v/>
      </c>
    </row>
    <row r="25" spans="1:16">
      <c r="A25" s="19"/>
      <c r="B25" s="19"/>
      <c r="C25" s="19"/>
      <c r="D25" s="19"/>
      <c r="E25" s="20"/>
      <c r="F25" s="20"/>
      <c r="G25" s="19"/>
      <c r="H25" s="19"/>
      <c r="I25" s="10" t="str" cm="1">
        <f t="array" aca="1" ref="I25" ca="1">IF(isEmptyRow,"",F_code)</f>
        <v/>
      </c>
      <c r="J25" s="10" t="str" cm="1">
        <f t="array" aca="1" ref="J25" ca="1">IF(isEmptyRow,"",INDIRECT("C"&amp;ROW())*INDIRECT("D"&amp;ROW()))</f>
        <v/>
      </c>
      <c r="K25" s="10" t="str" cm="1">
        <f t="array" aca="1" ref="K25" ca="1">IF(isEmptyRow,"",J25*2)</f>
        <v/>
      </c>
      <c r="L25" s="10" t="str" cm="1">
        <f t="array" aca="1" ref="L25" ca="1">IF(isEmptyRow,"",F_offset)</f>
        <v/>
      </c>
      <c r="M25" s="11" t="str" cm="1">
        <f t="array" aca="1" ref="M25" ca="1">IF(isEmptyRow,"",F_address)</f>
        <v/>
      </c>
      <c r="N25" s="15" cm="1">
        <f t="array" aca="1" ref="N25" ca="1">F_残</f>
        <v>36</v>
      </c>
      <c r="P25" t="str" cm="1">
        <f t="array" aca="1" ref="P25" ca="1">IF(isDataRow,テーブル定義コード_データ行,IF(isTermRow,テーブル定義コード_番兵行,IF(isCloseRow,テーブル定義コード_最終行,"")))</f>
        <v/>
      </c>
    </row>
    <row r="26" spans="1:16">
      <c r="A26" s="19"/>
      <c r="B26" s="19"/>
      <c r="C26" s="19"/>
      <c r="D26" s="19"/>
      <c r="E26" s="20"/>
      <c r="F26" s="20"/>
      <c r="G26" s="19"/>
      <c r="H26" s="19"/>
      <c r="I26" s="10" t="str" cm="1">
        <f t="array" aca="1" ref="I26" ca="1">IF(isEmptyRow,"",F_code)</f>
        <v/>
      </c>
      <c r="J26" s="10" t="str" cm="1">
        <f t="array" aca="1" ref="J26" ca="1">IF(isEmptyRow,"",INDIRECT("C"&amp;ROW())*INDIRECT("D"&amp;ROW()))</f>
        <v/>
      </c>
      <c r="K26" s="10" t="str" cm="1">
        <f t="array" aca="1" ref="K26" ca="1">IF(isEmptyRow,"",J26*2)</f>
        <v/>
      </c>
      <c r="L26" s="10" t="str" cm="1">
        <f t="array" aca="1" ref="L26" ca="1">IF(isEmptyRow,"",F_offset)</f>
        <v/>
      </c>
      <c r="M26" s="11" t="str" cm="1">
        <f t="array" aca="1" ref="M26" ca="1">IF(isEmptyRow,"",F_address)</f>
        <v/>
      </c>
      <c r="N26" s="15" cm="1">
        <f t="array" aca="1" ref="N26" ca="1">F_残</f>
        <v>36</v>
      </c>
      <c r="P26" t="str" cm="1">
        <f t="array" aca="1" ref="P26" ca="1">IF(isDataRow,テーブル定義コード_データ行,IF(isTermRow,テーブル定義コード_番兵行,IF(isCloseRow,テーブル定義コード_最終行,"")))</f>
        <v/>
      </c>
    </row>
    <row r="27" spans="1:16">
      <c r="A27" s="19"/>
      <c r="B27" s="19"/>
      <c r="C27" s="19"/>
      <c r="D27" s="19"/>
      <c r="E27" s="20"/>
      <c r="F27" s="20"/>
      <c r="G27" s="19"/>
      <c r="H27" s="19"/>
      <c r="I27" s="10" t="str" cm="1">
        <f t="array" aca="1" ref="I27" ca="1">IF(isEmptyRow,"",F_code)</f>
        <v/>
      </c>
      <c r="J27" s="10" t="str" cm="1">
        <f t="array" aca="1" ref="J27" ca="1">IF(isEmptyRow,"",INDIRECT("C"&amp;ROW())*INDIRECT("D"&amp;ROW()))</f>
        <v/>
      </c>
      <c r="K27" s="10" t="str" cm="1">
        <f t="array" aca="1" ref="K27" ca="1">IF(isEmptyRow,"",J27*2)</f>
        <v/>
      </c>
      <c r="L27" s="10" t="str" cm="1">
        <f t="array" aca="1" ref="L27" ca="1">IF(isEmptyRow,"",F_offset)</f>
        <v/>
      </c>
      <c r="M27" s="11" t="str" cm="1">
        <f t="array" aca="1" ref="M27" ca="1">IF(isEmptyRow,"",F_address)</f>
        <v/>
      </c>
      <c r="N27" s="15" cm="1">
        <f t="array" aca="1" ref="N27" ca="1">F_残</f>
        <v>36</v>
      </c>
      <c r="P27" t="str" cm="1">
        <f t="array" aca="1" ref="P27" ca="1">IF(isDataRow,テーブル定義コード_データ行,IF(isTermRow,テーブル定義コード_番兵行,IF(isCloseRow,テーブル定義コード_最終行,"")))</f>
        <v/>
      </c>
    </row>
    <row r="28" spans="1:16">
      <c r="A28" s="19"/>
      <c r="B28" s="19"/>
      <c r="C28" s="19"/>
      <c r="D28" s="19"/>
      <c r="E28" s="20"/>
      <c r="F28" s="20"/>
      <c r="G28" s="19"/>
      <c r="H28" s="19"/>
      <c r="I28" s="10" t="str" cm="1">
        <f t="array" aca="1" ref="I28" ca="1">IF(isEmptyRow,"",F_code)</f>
        <v/>
      </c>
      <c r="J28" s="10" t="str" cm="1">
        <f t="array" aca="1" ref="J28" ca="1">IF(isEmptyRow,"",INDIRECT("C"&amp;ROW())*INDIRECT("D"&amp;ROW()))</f>
        <v/>
      </c>
      <c r="K28" s="10" t="str" cm="1">
        <f t="array" aca="1" ref="K28" ca="1">IF(isEmptyRow,"",J28*2)</f>
        <v/>
      </c>
      <c r="L28" s="10" t="str" cm="1">
        <f t="array" aca="1" ref="L28" ca="1">IF(isEmptyRow,"",F_offset)</f>
        <v/>
      </c>
      <c r="M28" s="11" t="str" cm="1">
        <f t="array" aca="1" ref="M28" ca="1">IF(isEmptyRow,"",F_address)</f>
        <v/>
      </c>
      <c r="N28" s="15" cm="1">
        <f t="array" aca="1" ref="N28" ca="1">F_残</f>
        <v>36</v>
      </c>
      <c r="P28" t="str" cm="1">
        <f t="array" aca="1" ref="P28" ca="1">IF(isDataRow,テーブル定義コード_データ行,IF(isTermRow,テーブル定義コード_番兵行,IF(isCloseRow,テーブル定義コード_最終行,"")))</f>
        <v/>
      </c>
    </row>
    <row r="29" spans="1:16">
      <c r="A29" s="19"/>
      <c r="B29" s="19"/>
      <c r="C29" s="19"/>
      <c r="D29" s="19"/>
      <c r="E29" s="20"/>
      <c r="F29" s="20"/>
      <c r="G29" s="19"/>
      <c r="H29" s="19"/>
      <c r="I29" s="10" t="str" cm="1">
        <f t="array" aca="1" ref="I29" ca="1">IF(isEmptyRow,"",F_code)</f>
        <v/>
      </c>
      <c r="J29" s="10" t="str" cm="1">
        <f t="array" aca="1" ref="J29" ca="1">IF(isEmptyRow,"",INDIRECT("C"&amp;ROW())*INDIRECT("D"&amp;ROW()))</f>
        <v/>
      </c>
      <c r="K29" s="10" t="str" cm="1">
        <f t="array" aca="1" ref="K29" ca="1">IF(isEmptyRow,"",J29*2)</f>
        <v/>
      </c>
      <c r="L29" s="10" t="str" cm="1">
        <f t="array" aca="1" ref="L29" ca="1">IF(isEmptyRow,"",F_offset)</f>
        <v/>
      </c>
      <c r="M29" s="11" t="str" cm="1">
        <f t="array" aca="1" ref="M29" ca="1">IF(isEmptyRow,"",F_address)</f>
        <v/>
      </c>
      <c r="N29" s="15" cm="1">
        <f t="array" aca="1" ref="N29" ca="1">F_残</f>
        <v>36</v>
      </c>
      <c r="P29" t="str" cm="1">
        <f t="array" aca="1" ref="P29" ca="1">IF(isDataRow,テーブル定義コード_データ行,IF(isTermRow,テーブル定義コード_番兵行,IF(isCloseRow,テーブル定義コード_最終行,"")))</f>
        <v/>
      </c>
    </row>
    <row r="30" spans="1:16">
      <c r="A30" s="19"/>
      <c r="B30" s="19"/>
      <c r="C30" s="19"/>
      <c r="D30" s="19"/>
      <c r="E30" s="20"/>
      <c r="F30" s="20"/>
      <c r="G30" s="19"/>
      <c r="H30" s="19"/>
      <c r="I30" s="10" t="str" cm="1">
        <f t="array" aca="1" ref="I30" ca="1">IF(isEmptyRow,"",F_code)</f>
        <v/>
      </c>
      <c r="J30" s="10" t="str" cm="1">
        <f t="array" aca="1" ref="J30" ca="1">IF(isEmptyRow,"",INDIRECT("C"&amp;ROW())*INDIRECT("D"&amp;ROW()))</f>
        <v/>
      </c>
      <c r="K30" s="10" t="str" cm="1">
        <f t="array" aca="1" ref="K30" ca="1">IF(isEmptyRow,"",J30*2)</f>
        <v/>
      </c>
      <c r="L30" s="10" t="str" cm="1">
        <f t="array" aca="1" ref="L30" ca="1">IF(isEmptyRow,"",F_offset)</f>
        <v/>
      </c>
      <c r="M30" s="11" t="str" cm="1">
        <f t="array" aca="1" ref="M30" ca="1">IF(isEmptyRow,"",F_address)</f>
        <v/>
      </c>
      <c r="N30" s="15" cm="1">
        <f t="array" aca="1" ref="N30" ca="1">F_残</f>
        <v>36</v>
      </c>
      <c r="P30" t="str" cm="1">
        <f t="array" aca="1" ref="P30" ca="1">IF(isDataRow,テーブル定義コード_データ行,IF(isTermRow,テーブル定義コード_番兵行,IF(isCloseRow,テーブル定義コード_最終行,"")))</f>
        <v/>
      </c>
    </row>
    <row r="31" spans="1:16">
      <c r="A31" s="19"/>
      <c r="B31" s="19"/>
      <c r="C31" s="19"/>
      <c r="D31" s="19"/>
      <c r="E31" s="20"/>
      <c r="F31" s="20"/>
      <c r="G31" s="19"/>
      <c r="H31" s="19"/>
      <c r="I31" s="10" t="str" cm="1">
        <f t="array" aca="1" ref="I31" ca="1">IF(isEmptyRow,"",F_code)</f>
        <v/>
      </c>
      <c r="J31" s="10" t="str" cm="1">
        <f t="array" aca="1" ref="J31" ca="1">IF(isEmptyRow,"",INDIRECT("C"&amp;ROW())*INDIRECT("D"&amp;ROW()))</f>
        <v/>
      </c>
      <c r="K31" s="10" t="str" cm="1">
        <f t="array" aca="1" ref="K31" ca="1">IF(isEmptyRow,"",J31*2)</f>
        <v/>
      </c>
      <c r="L31" s="10" t="str" cm="1">
        <f t="array" aca="1" ref="L31" ca="1">IF(isEmptyRow,"",F_offset)</f>
        <v/>
      </c>
      <c r="M31" s="11" t="str" cm="1">
        <f t="array" aca="1" ref="M31" ca="1">IF(isEmptyRow,"",F_address)</f>
        <v/>
      </c>
      <c r="N31" s="15" cm="1">
        <f t="array" aca="1" ref="N31" ca="1">F_残</f>
        <v>36</v>
      </c>
      <c r="P31" t="str" cm="1">
        <f t="array" aca="1" ref="P31" ca="1">IF(isDataRow,テーブル定義コード_データ行,IF(isTermRow,テーブル定義コード_番兵行,IF(isCloseRow,テーブル定義コード_最終行,"")))</f>
        <v/>
      </c>
    </row>
    <row r="32" spans="1:16">
      <c r="A32" s="19"/>
      <c r="B32" s="19"/>
      <c r="C32" s="19"/>
      <c r="D32" s="19"/>
      <c r="E32" s="20"/>
      <c r="F32" s="20"/>
      <c r="G32" s="19"/>
      <c r="H32" s="19"/>
      <c r="I32" s="10" t="str" cm="1">
        <f t="array" aca="1" ref="I32" ca="1">IF(isEmptyRow,"",F_code)</f>
        <v/>
      </c>
      <c r="J32" s="10" t="str" cm="1">
        <f t="array" aca="1" ref="J32" ca="1">IF(isEmptyRow,"",INDIRECT("C"&amp;ROW())*INDIRECT("D"&amp;ROW()))</f>
        <v/>
      </c>
      <c r="K32" s="10" t="str" cm="1">
        <f t="array" aca="1" ref="K32" ca="1">IF(isEmptyRow,"",J32*2)</f>
        <v/>
      </c>
      <c r="L32" s="10" t="str" cm="1">
        <f t="array" aca="1" ref="L32" ca="1">IF(isEmptyRow,"",F_offset)</f>
        <v/>
      </c>
      <c r="M32" s="11" t="str" cm="1">
        <f t="array" aca="1" ref="M32" ca="1">IF(isEmptyRow,"",F_address)</f>
        <v/>
      </c>
      <c r="N32" s="15" cm="1">
        <f t="array" aca="1" ref="N32" ca="1">F_残</f>
        <v>36</v>
      </c>
      <c r="P32" t="str" cm="1">
        <f t="array" aca="1" ref="P32" ca="1">IF(isDataRow,テーブル定義コード_データ行,IF(isTermRow,テーブル定義コード_番兵行,IF(isCloseRow,テーブル定義コード_最終行,"")))</f>
        <v/>
      </c>
    </row>
    <row r="33" spans="1:16">
      <c r="A33" s="19"/>
      <c r="B33" s="19"/>
      <c r="C33" s="19"/>
      <c r="D33" s="19"/>
      <c r="E33" s="20"/>
      <c r="F33" s="20"/>
      <c r="G33" s="19"/>
      <c r="H33" s="19"/>
      <c r="I33" s="10" t="str" cm="1">
        <f t="array" aca="1" ref="I33" ca="1">IF(isEmptyRow,"",F_code)</f>
        <v/>
      </c>
      <c r="J33" s="10" t="str" cm="1">
        <f t="array" aca="1" ref="J33" ca="1">IF(isEmptyRow,"",INDIRECT("C"&amp;ROW())*INDIRECT("D"&amp;ROW()))</f>
        <v/>
      </c>
      <c r="K33" s="10" t="str" cm="1">
        <f t="array" aca="1" ref="K33" ca="1">IF(isEmptyRow,"",J33*2)</f>
        <v/>
      </c>
      <c r="L33" s="10" t="str" cm="1">
        <f t="array" aca="1" ref="L33" ca="1">IF(isEmptyRow,"",F_offset)</f>
        <v/>
      </c>
      <c r="M33" s="11" t="str" cm="1">
        <f t="array" aca="1" ref="M33" ca="1">IF(isEmptyRow,"",F_address)</f>
        <v/>
      </c>
      <c r="N33" s="15" cm="1">
        <f t="array" aca="1" ref="N33" ca="1">F_残</f>
        <v>36</v>
      </c>
      <c r="P33" t="str" cm="1">
        <f t="array" aca="1" ref="P33" ca="1">IF(isDataRow,テーブル定義コード_データ行,IF(isTermRow,テーブル定義コード_番兵行,IF(isCloseRow,テーブル定義コード_最終行,"")))</f>
        <v/>
      </c>
    </row>
    <row r="34" spans="1:16">
      <c r="A34" s="19"/>
      <c r="B34" s="19"/>
      <c r="C34" s="19"/>
      <c r="D34" s="19"/>
      <c r="E34" s="20"/>
      <c r="F34" s="20"/>
      <c r="G34" s="19"/>
      <c r="H34" s="19"/>
      <c r="I34" s="10" t="str" cm="1">
        <f t="array" aca="1" ref="I34" ca="1">IF(isEmptyRow,"",F_code)</f>
        <v/>
      </c>
      <c r="J34" s="10" t="str" cm="1">
        <f t="array" aca="1" ref="J34" ca="1">IF(isEmptyRow,"",INDIRECT("C"&amp;ROW())*INDIRECT("D"&amp;ROW()))</f>
        <v/>
      </c>
      <c r="K34" s="10" t="str" cm="1">
        <f t="array" aca="1" ref="K34" ca="1">IF(isEmptyRow,"",J34*2)</f>
        <v/>
      </c>
      <c r="L34" s="10" t="str" cm="1">
        <f t="array" aca="1" ref="L34" ca="1">IF(isEmptyRow,"",F_offset)</f>
        <v/>
      </c>
      <c r="M34" s="11" t="str" cm="1">
        <f t="array" aca="1" ref="M34" ca="1">IF(isEmptyRow,"",F_address)</f>
        <v/>
      </c>
      <c r="N34" s="15" cm="1">
        <f t="array" aca="1" ref="N34" ca="1">F_残</f>
        <v>36</v>
      </c>
      <c r="P34" t="str" cm="1">
        <f t="array" aca="1" ref="P34" ca="1">IF(isDataRow,テーブル定義コード_データ行,IF(isTermRow,テーブル定義コード_番兵行,IF(isCloseRow,テーブル定義コード_最終行,"")))</f>
        <v/>
      </c>
    </row>
    <row r="35" spans="1:16">
      <c r="A35" s="19"/>
      <c r="B35" s="19"/>
      <c r="C35" s="19"/>
      <c r="D35" s="19"/>
      <c r="E35" s="20"/>
      <c r="F35" s="20"/>
      <c r="G35" s="19"/>
      <c r="H35" s="19"/>
      <c r="I35" s="10" t="str" cm="1">
        <f t="array" aca="1" ref="I35" ca="1">IF(isEmptyRow,"",F_code)</f>
        <v/>
      </c>
      <c r="J35" s="10" t="str" cm="1">
        <f t="array" aca="1" ref="J35" ca="1">IF(isEmptyRow,"",INDIRECT("C"&amp;ROW())*INDIRECT("D"&amp;ROW()))</f>
        <v/>
      </c>
      <c r="K35" s="10" t="str" cm="1">
        <f t="array" aca="1" ref="K35" ca="1">IF(isEmptyRow,"",J35*2)</f>
        <v/>
      </c>
      <c r="L35" s="10" t="str" cm="1">
        <f t="array" aca="1" ref="L35" ca="1">IF(isEmptyRow,"",F_offset)</f>
        <v/>
      </c>
      <c r="M35" s="11" t="str" cm="1">
        <f t="array" aca="1" ref="M35" ca="1">IF(isEmptyRow,"",F_address)</f>
        <v/>
      </c>
      <c r="N35" s="15" cm="1">
        <f t="array" aca="1" ref="N35" ca="1">F_残</f>
        <v>36</v>
      </c>
      <c r="P35" t="str" cm="1">
        <f t="array" aca="1" ref="P35" ca="1">IF(isDataRow,テーブル定義コード_データ行,IF(isTermRow,テーブル定義コード_番兵行,IF(isCloseRow,テーブル定義コード_最終行,"")))</f>
        <v/>
      </c>
    </row>
    <row r="36" spans="1:16">
      <c r="A36" s="19"/>
      <c r="B36" s="19"/>
      <c r="C36" s="19"/>
      <c r="D36" s="19"/>
      <c r="E36" s="20"/>
      <c r="F36" s="20"/>
      <c r="G36" s="19"/>
      <c r="H36" s="19"/>
      <c r="I36" s="10" t="str" cm="1">
        <f t="array" aca="1" ref="I36" ca="1">IF(isEmptyRow,"",F_code)</f>
        <v/>
      </c>
      <c r="J36" s="10" t="str" cm="1">
        <f t="array" aca="1" ref="J36" ca="1">IF(isEmptyRow,"",INDIRECT("C"&amp;ROW())*INDIRECT("D"&amp;ROW()))</f>
        <v/>
      </c>
      <c r="K36" s="10" t="str" cm="1">
        <f t="array" aca="1" ref="K36" ca="1">IF(isEmptyRow,"",J36*2)</f>
        <v/>
      </c>
      <c r="L36" s="10" t="str" cm="1">
        <f t="array" aca="1" ref="L36" ca="1">IF(isEmptyRow,"",F_offset)</f>
        <v/>
      </c>
      <c r="M36" s="11" t="str" cm="1">
        <f t="array" aca="1" ref="M36" ca="1">IF(isEmptyRow,"",F_address)</f>
        <v/>
      </c>
      <c r="N36" s="15" cm="1">
        <f t="array" aca="1" ref="N36" ca="1">F_残</f>
        <v>36</v>
      </c>
      <c r="P36" t="str" cm="1">
        <f t="array" aca="1" ref="P36" ca="1">IF(isDataRow,テーブル定義コード_データ行,IF(isTermRow,テーブル定義コード_番兵行,IF(isCloseRow,テーブル定義コード_最終行,"")))</f>
        <v/>
      </c>
    </row>
    <row r="37" spans="1:16">
      <c r="A37" s="19"/>
      <c r="B37" s="19"/>
      <c r="C37" s="19"/>
      <c r="D37" s="19"/>
      <c r="E37" s="20"/>
      <c r="F37" s="20"/>
      <c r="G37" s="19"/>
      <c r="H37" s="19"/>
      <c r="I37" s="10" t="str" cm="1">
        <f t="array" aca="1" ref="I37" ca="1">IF(isEmptyRow,"",F_code)</f>
        <v/>
      </c>
      <c r="J37" s="10" t="str" cm="1">
        <f t="array" aca="1" ref="J37" ca="1">IF(isEmptyRow,"",INDIRECT("C"&amp;ROW())*INDIRECT("D"&amp;ROW()))</f>
        <v/>
      </c>
      <c r="K37" s="10" t="str" cm="1">
        <f t="array" aca="1" ref="K37" ca="1">IF(isEmptyRow,"",J37*2)</f>
        <v/>
      </c>
      <c r="L37" s="10" t="str" cm="1">
        <f t="array" aca="1" ref="L37" ca="1">IF(isEmptyRow,"",F_offset)</f>
        <v/>
      </c>
      <c r="M37" s="11" t="str" cm="1">
        <f t="array" aca="1" ref="M37" ca="1">IF(isEmptyRow,"",F_address)</f>
        <v/>
      </c>
      <c r="N37" s="15" cm="1">
        <f t="array" aca="1" ref="N37" ca="1">F_残</f>
        <v>36</v>
      </c>
      <c r="P37" t="str" cm="1">
        <f t="array" aca="1" ref="P37" ca="1">IF(isDataRow,テーブル定義コード_データ行,IF(isTermRow,テーブル定義コード_番兵行,IF(isCloseRow,テーブル定義コード_最終行,"")))</f>
        <v/>
      </c>
    </row>
    <row r="38" spans="1:16">
      <c r="A38" s="19"/>
      <c r="B38" s="19"/>
      <c r="C38" s="19"/>
      <c r="D38" s="19"/>
      <c r="E38" s="20"/>
      <c r="F38" s="20"/>
      <c r="G38" s="19"/>
      <c r="H38" s="19"/>
      <c r="I38" s="10" t="str" cm="1">
        <f t="array" aca="1" ref="I38" ca="1">IF(isEmptyRow,"",F_code)</f>
        <v/>
      </c>
      <c r="J38" s="10" t="str" cm="1">
        <f t="array" aca="1" ref="J38" ca="1">IF(isEmptyRow,"",INDIRECT("C"&amp;ROW())*INDIRECT("D"&amp;ROW()))</f>
        <v/>
      </c>
      <c r="K38" s="10" t="str" cm="1">
        <f t="array" aca="1" ref="K38" ca="1">IF(isEmptyRow,"",J38*2)</f>
        <v/>
      </c>
      <c r="L38" s="10" t="str" cm="1">
        <f t="array" aca="1" ref="L38" ca="1">IF(isEmptyRow,"",F_offset)</f>
        <v/>
      </c>
      <c r="M38" s="11" t="str" cm="1">
        <f t="array" aca="1" ref="M38" ca="1">IF(isEmptyRow,"",F_address)</f>
        <v/>
      </c>
      <c r="N38" s="15" cm="1">
        <f t="array" aca="1" ref="N38" ca="1">F_残</f>
        <v>36</v>
      </c>
      <c r="P38" t="str" cm="1">
        <f t="array" aca="1" ref="P38" ca="1">IF(isDataRow,テーブル定義コード_データ行,IF(isTermRow,テーブル定義コード_番兵行,IF(isCloseRow,テーブル定義コード_最終行,"")))</f>
        <v/>
      </c>
    </row>
    <row r="39" spans="1:16">
      <c r="A39" s="19"/>
      <c r="B39" s="19"/>
      <c r="C39" s="19"/>
      <c r="D39" s="19"/>
      <c r="E39" s="20"/>
      <c r="F39" s="20"/>
      <c r="G39" s="19"/>
      <c r="H39" s="19"/>
      <c r="I39" s="10" t="str" cm="1">
        <f t="array" aca="1" ref="I39" ca="1">IF(isEmptyRow,"",F_code)</f>
        <v/>
      </c>
      <c r="J39" s="10" t="str" cm="1">
        <f t="array" aca="1" ref="J39" ca="1">IF(isEmptyRow,"",INDIRECT("C"&amp;ROW())*INDIRECT("D"&amp;ROW()))</f>
        <v/>
      </c>
      <c r="K39" s="10" t="str" cm="1">
        <f t="array" aca="1" ref="K39" ca="1">IF(isEmptyRow,"",J39*2)</f>
        <v/>
      </c>
      <c r="L39" s="10" t="str" cm="1">
        <f t="array" aca="1" ref="L39" ca="1">IF(isEmptyRow,"",F_offset)</f>
        <v/>
      </c>
      <c r="M39" s="11" t="str" cm="1">
        <f t="array" aca="1" ref="M39" ca="1">IF(isEmptyRow,"",F_address)</f>
        <v/>
      </c>
      <c r="N39" s="15" cm="1">
        <f t="array" aca="1" ref="N39" ca="1">F_残</f>
        <v>36</v>
      </c>
      <c r="P39" t="str" cm="1">
        <f t="array" aca="1" ref="P39" ca="1">IF(isDataRow,テーブル定義コード_データ行,IF(isTermRow,テーブル定義コード_番兵行,IF(isCloseRow,テーブル定義コード_最終行,"")))</f>
        <v/>
      </c>
    </row>
    <row r="40" spans="1:16">
      <c r="A40" s="19"/>
      <c r="B40" s="19"/>
      <c r="C40" s="19"/>
      <c r="D40" s="19"/>
      <c r="E40" s="20"/>
      <c r="F40" s="20"/>
      <c r="G40" s="19"/>
      <c r="H40" s="19"/>
      <c r="I40" s="10" t="str" cm="1">
        <f t="array" aca="1" ref="I40" ca="1">IF(isEmptyRow,"",F_code)</f>
        <v/>
      </c>
      <c r="J40" s="10" t="str" cm="1">
        <f t="array" aca="1" ref="J40" ca="1">IF(isEmptyRow,"",INDIRECT("C"&amp;ROW())*INDIRECT("D"&amp;ROW()))</f>
        <v/>
      </c>
      <c r="K40" s="10" t="str" cm="1">
        <f t="array" aca="1" ref="K40" ca="1">IF(isEmptyRow,"",J40*2)</f>
        <v/>
      </c>
      <c r="L40" s="10" t="str" cm="1">
        <f t="array" aca="1" ref="L40" ca="1">IF(isEmptyRow,"",F_offset)</f>
        <v/>
      </c>
      <c r="M40" s="11" t="str" cm="1">
        <f t="array" aca="1" ref="M40" ca="1">IF(isEmptyRow,"",F_address)</f>
        <v/>
      </c>
      <c r="N40" s="15" cm="1">
        <f t="array" aca="1" ref="N40" ca="1">F_残</f>
        <v>36</v>
      </c>
      <c r="P40" t="str" cm="1">
        <f t="array" aca="1" ref="P40" ca="1">IF(isDataRow,テーブル定義コード_データ行,IF(isTermRow,テーブル定義コード_番兵行,IF(isCloseRow,テーブル定義コード_最終行,"")))</f>
        <v/>
      </c>
    </row>
    <row r="41" spans="1:16">
      <c r="A41" s="19"/>
      <c r="B41" s="19"/>
      <c r="C41" s="19"/>
      <c r="D41" s="19"/>
      <c r="E41" s="20"/>
      <c r="F41" s="20"/>
      <c r="G41" s="19"/>
      <c r="H41" s="19"/>
      <c r="I41" s="10" t="str" cm="1">
        <f t="array" aca="1" ref="I41" ca="1">IF(isEmptyRow,"",F_code)</f>
        <v/>
      </c>
      <c r="J41" s="10" t="str" cm="1">
        <f t="array" aca="1" ref="J41" ca="1">IF(isEmptyRow,"",INDIRECT("C"&amp;ROW())*INDIRECT("D"&amp;ROW()))</f>
        <v/>
      </c>
      <c r="K41" s="10" t="str" cm="1">
        <f t="array" aca="1" ref="K41" ca="1">IF(isEmptyRow,"",J41*2)</f>
        <v/>
      </c>
      <c r="L41" s="10" t="str" cm="1">
        <f t="array" aca="1" ref="L41" ca="1">IF(isEmptyRow,"",F_offset)</f>
        <v/>
      </c>
      <c r="M41" s="11" t="str" cm="1">
        <f t="array" aca="1" ref="M41" ca="1">IF(isEmptyRow,"",F_address)</f>
        <v/>
      </c>
      <c r="N41" s="15" cm="1">
        <f t="array" aca="1" ref="N41" ca="1">F_残</f>
        <v>36</v>
      </c>
      <c r="P41" t="str" cm="1">
        <f t="array" aca="1" ref="P41" ca="1">IF(isDataRow,テーブル定義コード_データ行,IF(isTermRow,テーブル定義コード_番兵行,IF(isCloseRow,テーブル定義コード_最終行,"")))</f>
        <v/>
      </c>
    </row>
    <row r="42" spans="1:16">
      <c r="A42" s="19"/>
      <c r="B42" s="19"/>
      <c r="C42" s="19"/>
      <c r="D42" s="19"/>
      <c r="E42" s="20"/>
      <c r="F42" s="20"/>
      <c r="G42" s="19"/>
      <c r="H42" s="19"/>
      <c r="I42" s="10" t="str" cm="1">
        <f t="array" aca="1" ref="I42" ca="1">IF(isEmptyRow,"",F_code)</f>
        <v/>
      </c>
      <c r="J42" s="10" t="str" cm="1">
        <f t="array" aca="1" ref="J42" ca="1">IF(isEmptyRow,"",INDIRECT("C"&amp;ROW())*INDIRECT("D"&amp;ROW()))</f>
        <v/>
      </c>
      <c r="K42" s="10" t="str" cm="1">
        <f t="array" aca="1" ref="K42" ca="1">IF(isEmptyRow,"",J42*2)</f>
        <v/>
      </c>
      <c r="L42" s="10" t="str" cm="1">
        <f t="array" aca="1" ref="L42" ca="1">IF(isEmptyRow,"",F_offset)</f>
        <v/>
      </c>
      <c r="M42" s="11" t="str" cm="1">
        <f t="array" aca="1" ref="M42" ca="1">IF(isEmptyRow,"",F_address)</f>
        <v/>
      </c>
      <c r="N42" s="15" cm="1">
        <f t="array" aca="1" ref="N42" ca="1">F_残</f>
        <v>36</v>
      </c>
      <c r="P42" t="str" cm="1">
        <f t="array" aca="1" ref="P42" ca="1">IF(isDataRow,テーブル定義コード_データ行,IF(isTermRow,テーブル定義コード_番兵行,IF(isCloseRow,テーブル定義コード_最終行,"")))</f>
        <v/>
      </c>
    </row>
    <row r="43" spans="1:16">
      <c r="A43" s="19"/>
      <c r="B43" s="19"/>
      <c r="C43" s="19"/>
      <c r="D43" s="19"/>
      <c r="E43" s="20"/>
      <c r="F43" s="20"/>
      <c r="G43" s="19"/>
      <c r="H43" s="19"/>
      <c r="I43" s="10" t="str" cm="1">
        <f t="array" aca="1" ref="I43" ca="1">IF(isEmptyRow,"",F_code)</f>
        <v/>
      </c>
      <c r="J43" s="10" t="str" cm="1">
        <f t="array" aca="1" ref="J43" ca="1">IF(isEmptyRow,"",INDIRECT("C"&amp;ROW())*INDIRECT("D"&amp;ROW()))</f>
        <v/>
      </c>
      <c r="K43" s="10" t="str" cm="1">
        <f t="array" aca="1" ref="K43" ca="1">IF(isEmptyRow,"",J43*2)</f>
        <v/>
      </c>
      <c r="L43" s="10" t="str" cm="1">
        <f t="array" aca="1" ref="L43" ca="1">IF(isEmptyRow,"",F_offset)</f>
        <v/>
      </c>
      <c r="M43" s="11" t="str" cm="1">
        <f t="array" aca="1" ref="M43" ca="1">IF(isEmptyRow,"",F_address)</f>
        <v/>
      </c>
      <c r="N43" s="15" cm="1">
        <f t="array" aca="1" ref="N43" ca="1">F_残</f>
        <v>36</v>
      </c>
      <c r="P43" t="str" cm="1">
        <f t="array" aca="1" ref="P43" ca="1">IF(isDataRow,テーブル定義コード_データ行,IF(isTermRow,テーブル定義コード_番兵行,IF(isCloseRow,テーブル定義コード_最終行,"")))</f>
        <v/>
      </c>
    </row>
    <row r="44" spans="1:16">
      <c r="A44" s="19"/>
      <c r="B44" s="19"/>
      <c r="C44" s="19"/>
      <c r="D44" s="19"/>
      <c r="E44" s="20"/>
      <c r="F44" s="20"/>
      <c r="G44" s="19"/>
      <c r="H44" s="19"/>
      <c r="I44" s="10" t="str" cm="1">
        <f t="array" aca="1" ref="I44" ca="1">IF(isEmptyRow,"",F_code)</f>
        <v/>
      </c>
      <c r="J44" s="10" t="str" cm="1">
        <f t="array" aca="1" ref="J44" ca="1">IF(isEmptyRow,"",INDIRECT("C"&amp;ROW())*INDIRECT("D"&amp;ROW()))</f>
        <v/>
      </c>
      <c r="K44" s="10" t="str" cm="1">
        <f t="array" aca="1" ref="K44" ca="1">IF(isEmptyRow,"",J44*2)</f>
        <v/>
      </c>
      <c r="L44" s="10" t="str" cm="1">
        <f t="array" aca="1" ref="L44" ca="1">IF(isEmptyRow,"",F_offset)</f>
        <v/>
      </c>
      <c r="M44" s="11" t="str" cm="1">
        <f t="array" aca="1" ref="M44" ca="1">IF(isEmptyRow,"",F_address)</f>
        <v/>
      </c>
      <c r="N44" s="15" cm="1">
        <f t="array" aca="1" ref="N44" ca="1">F_残</f>
        <v>36</v>
      </c>
      <c r="P44" t="str" cm="1">
        <f t="array" aca="1" ref="P44" ca="1">IF(isDataRow,テーブル定義コード_データ行,IF(isTermRow,テーブル定義コード_番兵行,IF(isCloseRow,テーブル定義コード_最終行,"")))</f>
        <v/>
      </c>
    </row>
    <row r="45" spans="1:16">
      <c r="A45" s="19"/>
      <c r="B45" s="19"/>
      <c r="C45" s="19"/>
      <c r="D45" s="19"/>
      <c r="E45" s="20"/>
      <c r="F45" s="20"/>
      <c r="G45" s="19"/>
      <c r="H45" s="19"/>
      <c r="I45" s="10" t="str" cm="1">
        <f t="array" aca="1" ref="I45" ca="1">IF(isEmptyRow,"",F_code)</f>
        <v/>
      </c>
      <c r="J45" s="10" t="str" cm="1">
        <f t="array" aca="1" ref="J45" ca="1">IF(isEmptyRow,"",INDIRECT("C"&amp;ROW())*INDIRECT("D"&amp;ROW()))</f>
        <v/>
      </c>
      <c r="K45" s="10" t="str" cm="1">
        <f t="array" aca="1" ref="K45" ca="1">IF(isEmptyRow,"",J45*2)</f>
        <v/>
      </c>
      <c r="L45" s="10" t="str" cm="1">
        <f t="array" aca="1" ref="L45" ca="1">IF(isEmptyRow,"",F_offset)</f>
        <v/>
      </c>
      <c r="M45" s="11" t="str" cm="1">
        <f t="array" aca="1" ref="M45" ca="1">IF(isEmptyRow,"",F_address)</f>
        <v/>
      </c>
      <c r="N45" s="15" cm="1">
        <f t="array" aca="1" ref="N45" ca="1">F_残</f>
        <v>36</v>
      </c>
      <c r="P45" t="str" cm="1">
        <f t="array" aca="1" ref="P45" ca="1">IF(isDataRow,テーブル定義コード_データ行,IF(isTermRow,テーブル定義コード_番兵行,IF(isCloseRow,テーブル定義コード_最終行,"")))</f>
        <v/>
      </c>
    </row>
    <row r="46" spans="1:16">
      <c r="A46" s="19"/>
      <c r="B46" s="19"/>
      <c r="C46" s="19"/>
      <c r="D46" s="19"/>
      <c r="E46" s="20"/>
      <c r="F46" s="20"/>
      <c r="G46" s="19"/>
      <c r="H46" s="19"/>
      <c r="I46" s="10" t="str" cm="1">
        <f t="array" aca="1" ref="I46" ca="1">IF(isEmptyRow,"",F_code)</f>
        <v/>
      </c>
      <c r="J46" s="10" t="str" cm="1">
        <f t="array" aca="1" ref="J46" ca="1">IF(isEmptyRow,"",INDIRECT("C"&amp;ROW())*INDIRECT("D"&amp;ROW()))</f>
        <v/>
      </c>
      <c r="K46" s="10" t="str" cm="1">
        <f t="array" aca="1" ref="K46" ca="1">IF(isEmptyRow,"",J46*2)</f>
        <v/>
      </c>
      <c r="L46" s="10" t="str" cm="1">
        <f t="array" aca="1" ref="L46" ca="1">IF(isEmptyRow,"",F_offset)</f>
        <v/>
      </c>
      <c r="M46" s="11" t="str" cm="1">
        <f t="array" aca="1" ref="M46" ca="1">IF(isEmptyRow,"",F_address)</f>
        <v/>
      </c>
      <c r="N46" s="15" cm="1">
        <f t="array" aca="1" ref="N46" ca="1">F_残</f>
        <v>36</v>
      </c>
      <c r="P46" t="str" cm="1">
        <f t="array" aca="1" ref="P46" ca="1">IF(isDataRow,テーブル定義コード_データ行,IF(isTermRow,テーブル定義コード_番兵行,IF(isCloseRow,テーブル定義コード_最終行,"")))</f>
        <v/>
      </c>
    </row>
    <row r="47" spans="1:16">
      <c r="A47" s="19"/>
      <c r="B47" s="19"/>
      <c r="C47" s="19"/>
      <c r="D47" s="19"/>
      <c r="E47" s="20"/>
      <c r="F47" s="20"/>
      <c r="G47" s="19"/>
      <c r="H47" s="19"/>
      <c r="I47" s="10" t="str" cm="1">
        <f t="array" aca="1" ref="I47" ca="1">IF(isEmptyRow,"",F_code)</f>
        <v/>
      </c>
      <c r="J47" s="10" t="str" cm="1">
        <f t="array" aca="1" ref="J47" ca="1">IF(isEmptyRow,"",INDIRECT("C"&amp;ROW())*INDIRECT("D"&amp;ROW()))</f>
        <v/>
      </c>
      <c r="K47" s="10" t="str" cm="1">
        <f t="array" aca="1" ref="K47" ca="1">IF(isEmptyRow,"",J47*2)</f>
        <v/>
      </c>
      <c r="L47" s="10" t="str" cm="1">
        <f t="array" aca="1" ref="L47" ca="1">IF(isEmptyRow,"",F_offset)</f>
        <v/>
      </c>
      <c r="M47" s="11" t="str" cm="1">
        <f t="array" aca="1" ref="M47" ca="1">IF(isEmptyRow,"",F_address)</f>
        <v/>
      </c>
      <c r="N47" s="15" cm="1">
        <f t="array" aca="1" ref="N47" ca="1">F_残</f>
        <v>36</v>
      </c>
      <c r="P47" t="str" cm="1">
        <f t="array" aca="1" ref="P47" ca="1">IF(isDataRow,テーブル定義コード_データ行,IF(isTermRow,テーブル定義コード_番兵行,IF(isCloseRow,テーブル定義コード_最終行,"")))</f>
        <v/>
      </c>
    </row>
    <row r="48" spans="1:16">
      <c r="A48" s="19"/>
      <c r="B48" s="19"/>
      <c r="C48" s="19"/>
      <c r="D48" s="19"/>
      <c r="E48" s="20"/>
      <c r="F48" s="20"/>
      <c r="G48" s="19"/>
      <c r="H48" s="19"/>
      <c r="I48" s="10" t="str" cm="1">
        <f t="array" aca="1" ref="I48" ca="1">IF(isEmptyRow,"",F_code)</f>
        <v/>
      </c>
      <c r="J48" s="10" t="str" cm="1">
        <f t="array" aca="1" ref="J48" ca="1">IF(isEmptyRow,"",INDIRECT("C"&amp;ROW())*INDIRECT("D"&amp;ROW()))</f>
        <v/>
      </c>
      <c r="K48" s="10" t="str" cm="1">
        <f t="array" aca="1" ref="K48" ca="1">IF(isEmptyRow,"",J48*2)</f>
        <v/>
      </c>
      <c r="L48" s="10" t="str" cm="1">
        <f t="array" aca="1" ref="L48" ca="1">IF(isEmptyRow,"",F_offset)</f>
        <v/>
      </c>
      <c r="M48" s="11" t="str" cm="1">
        <f t="array" aca="1" ref="M48" ca="1">IF(isEmptyRow,"",F_address)</f>
        <v/>
      </c>
      <c r="N48" s="15" cm="1">
        <f t="array" aca="1" ref="N48" ca="1">F_残</f>
        <v>36</v>
      </c>
      <c r="P48" t="str" cm="1">
        <f t="array" aca="1" ref="P48" ca="1">IF(isDataRow,テーブル定義コード_データ行,IF(isTermRow,テーブル定義コード_番兵行,IF(isCloseRow,テーブル定義コード_最終行,"")))</f>
        <v/>
      </c>
    </row>
    <row r="49" spans="1:16">
      <c r="A49" s="19"/>
      <c r="B49" s="19"/>
      <c r="C49" s="19"/>
      <c r="D49" s="19"/>
      <c r="E49" s="20"/>
      <c r="F49" s="20"/>
      <c r="G49" s="19"/>
      <c r="H49" s="19"/>
      <c r="I49" s="10" t="str" cm="1">
        <f t="array" aca="1" ref="I49" ca="1">IF(isEmptyRow,"",F_code)</f>
        <v/>
      </c>
      <c r="J49" s="10" t="str" cm="1">
        <f t="array" aca="1" ref="J49" ca="1">IF(isEmptyRow,"",INDIRECT("C"&amp;ROW())*INDIRECT("D"&amp;ROW()))</f>
        <v/>
      </c>
      <c r="K49" s="10" t="str" cm="1">
        <f t="array" aca="1" ref="K49" ca="1">IF(isEmptyRow,"",J49*2)</f>
        <v/>
      </c>
      <c r="L49" s="10" t="str" cm="1">
        <f t="array" aca="1" ref="L49" ca="1">IF(isEmptyRow,"",F_offset)</f>
        <v/>
      </c>
      <c r="M49" s="11" t="str" cm="1">
        <f t="array" aca="1" ref="M49" ca="1">IF(isEmptyRow,"",F_address)</f>
        <v/>
      </c>
      <c r="N49" s="15" cm="1">
        <f t="array" aca="1" ref="N49" ca="1">F_残</f>
        <v>36</v>
      </c>
      <c r="P49" t="str" cm="1">
        <f t="array" aca="1" ref="P49" ca="1">IF(isDataRow,テーブル定義コード_データ行,IF(isTermRow,テーブル定義コード_番兵行,IF(isCloseRow,テーブル定義コード_最終行,"")))</f>
        <v/>
      </c>
    </row>
    <row r="50" spans="1:16">
      <c r="A50" s="19"/>
      <c r="B50" s="19"/>
      <c r="C50" s="19"/>
      <c r="D50" s="19"/>
      <c r="E50" s="20"/>
      <c r="F50" s="20"/>
      <c r="G50" s="19"/>
      <c r="H50" s="19"/>
      <c r="I50" s="10" t="str" cm="1">
        <f t="array" aca="1" ref="I50" ca="1">IF(isEmptyRow,"",F_code)</f>
        <v/>
      </c>
      <c r="J50" s="10" t="str" cm="1">
        <f t="array" aca="1" ref="J50" ca="1">IF(isEmptyRow,"",INDIRECT("C"&amp;ROW())*INDIRECT("D"&amp;ROW()))</f>
        <v/>
      </c>
      <c r="K50" s="10" t="str" cm="1">
        <f t="array" aca="1" ref="K50" ca="1">IF(isEmptyRow,"",J50*2)</f>
        <v/>
      </c>
      <c r="L50" s="10" t="str" cm="1">
        <f t="array" aca="1" ref="L50" ca="1">IF(isEmptyRow,"",F_offset)</f>
        <v/>
      </c>
      <c r="M50" s="11" t="str" cm="1">
        <f t="array" aca="1" ref="M50" ca="1">IF(isEmptyRow,"",F_address)</f>
        <v/>
      </c>
      <c r="N50" s="15" cm="1">
        <f t="array" aca="1" ref="N50" ca="1">F_残</f>
        <v>36</v>
      </c>
      <c r="P50" t="str" cm="1">
        <f t="array" aca="1" ref="P50" ca="1">IF(isDataRow,テーブル定義コード_データ行,IF(isTermRow,テーブル定義コード_番兵行,IF(isCloseRow,テーブル定義コード_最終行,"")))</f>
        <v/>
      </c>
    </row>
    <row r="51" spans="1:16">
      <c r="A51" s="19"/>
      <c r="B51" s="19"/>
      <c r="C51" s="19"/>
      <c r="D51" s="19"/>
      <c r="E51" s="20"/>
      <c r="F51" s="20"/>
      <c r="G51" s="19"/>
      <c r="H51" s="19"/>
      <c r="I51" s="10" t="str" cm="1">
        <f t="array" aca="1" ref="I51" ca="1">IF(isEmptyRow,"",F_code)</f>
        <v/>
      </c>
      <c r="J51" s="10" t="str" cm="1">
        <f t="array" aca="1" ref="J51" ca="1">IF(isEmptyRow,"",INDIRECT("C"&amp;ROW())*INDIRECT("D"&amp;ROW()))</f>
        <v/>
      </c>
      <c r="K51" s="10" t="str" cm="1">
        <f t="array" aca="1" ref="K51" ca="1">IF(isEmptyRow,"",J51*2)</f>
        <v/>
      </c>
      <c r="L51" s="10" t="str" cm="1">
        <f t="array" aca="1" ref="L51" ca="1">IF(isEmptyRow,"",F_offset)</f>
        <v/>
      </c>
      <c r="M51" s="11" t="str" cm="1">
        <f t="array" aca="1" ref="M51" ca="1">IF(isEmptyRow,"",F_address)</f>
        <v/>
      </c>
      <c r="N51" s="15" cm="1">
        <f t="array" aca="1" ref="N51" ca="1">F_残</f>
        <v>36</v>
      </c>
      <c r="P51" t="str" cm="1">
        <f t="array" aca="1" ref="P51" ca="1">IF(isDataRow,テーブル定義コード_データ行,IF(isTermRow,テーブル定義コード_番兵行,IF(isCloseRow,テーブル定義コード_最終行,"")))</f>
        <v/>
      </c>
    </row>
    <row r="52" spans="1:16">
      <c r="A52" s="19"/>
      <c r="B52" s="19"/>
      <c r="C52" s="19"/>
      <c r="D52" s="19"/>
      <c r="E52" s="20"/>
      <c r="F52" s="20"/>
      <c r="G52" s="19"/>
      <c r="H52" s="19"/>
      <c r="I52" s="10" t="str" cm="1">
        <f t="array" aca="1" ref="I52" ca="1">IF(isEmptyRow,"",F_code)</f>
        <v/>
      </c>
      <c r="J52" s="10" t="str" cm="1">
        <f t="array" aca="1" ref="J52" ca="1">IF(isEmptyRow,"",INDIRECT("C"&amp;ROW())*INDIRECT("D"&amp;ROW()))</f>
        <v/>
      </c>
      <c r="K52" s="10" t="str" cm="1">
        <f t="array" aca="1" ref="K52" ca="1">IF(isEmptyRow,"",J52*2)</f>
        <v/>
      </c>
      <c r="L52" s="10" t="str" cm="1">
        <f t="array" aca="1" ref="L52" ca="1">IF(isEmptyRow,"",F_offset)</f>
        <v/>
      </c>
      <c r="M52" s="11" t="str" cm="1">
        <f t="array" aca="1" ref="M52" ca="1">IF(isEmptyRow,"",F_address)</f>
        <v/>
      </c>
      <c r="N52" s="15" cm="1">
        <f t="array" aca="1" ref="N52" ca="1">F_残</f>
        <v>36</v>
      </c>
      <c r="P52" t="str" cm="1">
        <f t="array" aca="1" ref="P52" ca="1">IF(isDataRow,テーブル定義コード_データ行,IF(isTermRow,テーブル定義コード_番兵行,IF(isCloseRow,テーブル定義コード_最終行,"")))</f>
        <v/>
      </c>
    </row>
    <row r="53" spans="1:16">
      <c r="A53" s="19"/>
      <c r="B53" s="19"/>
      <c r="C53" s="19"/>
      <c r="D53" s="19"/>
      <c r="E53" s="20"/>
      <c r="F53" s="20"/>
      <c r="G53" s="19"/>
      <c r="H53" s="19"/>
      <c r="I53" s="10" t="str" cm="1">
        <f t="array" aca="1" ref="I53" ca="1">IF(isEmptyRow,"",F_code)</f>
        <v/>
      </c>
      <c r="J53" s="10" t="str" cm="1">
        <f t="array" aca="1" ref="J53" ca="1">IF(isEmptyRow,"",INDIRECT("C"&amp;ROW())*INDIRECT("D"&amp;ROW()))</f>
        <v/>
      </c>
      <c r="K53" s="10" t="str" cm="1">
        <f t="array" aca="1" ref="K53" ca="1">IF(isEmptyRow,"",J53*2)</f>
        <v/>
      </c>
      <c r="L53" s="10" t="str" cm="1">
        <f t="array" aca="1" ref="L53" ca="1">IF(isEmptyRow,"",F_offset)</f>
        <v/>
      </c>
      <c r="M53" s="11" t="str" cm="1">
        <f t="array" aca="1" ref="M53" ca="1">IF(isEmptyRow,"",F_address)</f>
        <v/>
      </c>
      <c r="N53" s="15" cm="1">
        <f t="array" aca="1" ref="N53" ca="1">F_残</f>
        <v>36</v>
      </c>
      <c r="P53" t="str" cm="1">
        <f t="array" aca="1" ref="P53" ca="1">IF(isDataRow,テーブル定義コード_データ行,IF(isTermRow,テーブル定義コード_番兵行,IF(isCloseRow,テーブル定義コード_最終行,"")))</f>
        <v/>
      </c>
    </row>
    <row r="54" spans="1:16">
      <c r="A54" s="19"/>
      <c r="B54" s="19"/>
      <c r="C54" s="19"/>
      <c r="D54" s="19"/>
      <c r="E54" s="20"/>
      <c r="F54" s="20"/>
      <c r="G54" s="19"/>
      <c r="H54" s="19"/>
      <c r="I54" s="10" t="str" cm="1">
        <f t="array" aca="1" ref="I54" ca="1">IF(isEmptyRow,"",F_code)</f>
        <v/>
      </c>
      <c r="J54" s="10" t="str" cm="1">
        <f t="array" aca="1" ref="J54" ca="1">IF(isEmptyRow,"",INDIRECT("C"&amp;ROW())*INDIRECT("D"&amp;ROW()))</f>
        <v/>
      </c>
      <c r="K54" s="10" t="str" cm="1">
        <f t="array" aca="1" ref="K54" ca="1">IF(isEmptyRow,"",J54*2)</f>
        <v/>
      </c>
      <c r="L54" s="10" t="str" cm="1">
        <f t="array" aca="1" ref="L54" ca="1">IF(isEmptyRow,"",F_offset)</f>
        <v/>
      </c>
      <c r="M54" s="11" t="str" cm="1">
        <f t="array" aca="1" ref="M54" ca="1">IF(isEmptyRow,"",F_address)</f>
        <v/>
      </c>
      <c r="N54" s="15" cm="1">
        <f t="array" aca="1" ref="N54" ca="1">F_残</f>
        <v>36</v>
      </c>
      <c r="P54" t="str" cm="1">
        <f t="array" aca="1" ref="P54" ca="1">IF(isDataRow,テーブル定義コード_データ行,IF(isTermRow,テーブル定義コード_番兵行,IF(isCloseRow,テーブル定義コード_最終行,"")))</f>
        <v/>
      </c>
    </row>
    <row r="55" spans="1:16">
      <c r="A55" s="19"/>
      <c r="B55" s="19"/>
      <c r="C55" s="19"/>
      <c r="D55" s="19"/>
      <c r="E55" s="20"/>
      <c r="F55" s="20"/>
      <c r="G55" s="19"/>
      <c r="H55" s="19"/>
      <c r="I55" s="10" t="str" cm="1">
        <f t="array" aca="1" ref="I55" ca="1">IF(isEmptyRow,"",F_code)</f>
        <v/>
      </c>
      <c r="J55" s="10" t="str" cm="1">
        <f t="array" aca="1" ref="J55" ca="1">IF(isEmptyRow,"",INDIRECT("C"&amp;ROW())*INDIRECT("D"&amp;ROW()))</f>
        <v/>
      </c>
      <c r="K55" s="10" t="str" cm="1">
        <f t="array" aca="1" ref="K55" ca="1">IF(isEmptyRow,"",J55*2)</f>
        <v/>
      </c>
      <c r="L55" s="10" t="str" cm="1">
        <f t="array" aca="1" ref="L55" ca="1">IF(isEmptyRow,"",F_offset)</f>
        <v/>
      </c>
      <c r="M55" s="11" t="str" cm="1">
        <f t="array" aca="1" ref="M55" ca="1">IF(isEmptyRow,"",F_address)</f>
        <v/>
      </c>
      <c r="N55" s="15" cm="1">
        <f t="array" aca="1" ref="N55" ca="1">F_残</f>
        <v>36</v>
      </c>
      <c r="P55" t="str" cm="1">
        <f t="array" aca="1" ref="P55" ca="1">IF(isDataRow,テーブル定義コード_データ行,IF(isTermRow,テーブル定義コード_番兵行,IF(isCloseRow,テーブル定義コード_最終行,"")))</f>
        <v/>
      </c>
    </row>
    <row r="56" spans="1:16">
      <c r="A56" s="19"/>
      <c r="B56" s="19"/>
      <c r="C56" s="19"/>
      <c r="D56" s="19"/>
      <c r="E56" s="20"/>
      <c r="F56" s="20"/>
      <c r="G56" s="19"/>
      <c r="H56" s="19"/>
      <c r="I56" s="10" t="str" cm="1">
        <f t="array" aca="1" ref="I56" ca="1">IF(isEmptyRow,"",F_code)</f>
        <v/>
      </c>
      <c r="J56" s="10" t="str" cm="1">
        <f t="array" aca="1" ref="J56" ca="1">IF(isEmptyRow,"",INDIRECT("C"&amp;ROW())*INDIRECT("D"&amp;ROW()))</f>
        <v/>
      </c>
      <c r="K56" s="10" t="str" cm="1">
        <f t="array" aca="1" ref="K56" ca="1">IF(isEmptyRow,"",J56*2)</f>
        <v/>
      </c>
      <c r="L56" s="10" t="str" cm="1">
        <f t="array" aca="1" ref="L56" ca="1">IF(isEmptyRow,"",F_offset)</f>
        <v/>
      </c>
      <c r="M56" s="11" t="str" cm="1">
        <f t="array" aca="1" ref="M56" ca="1">IF(isEmptyRow,"",F_address)</f>
        <v/>
      </c>
      <c r="N56" s="15" cm="1">
        <f t="array" aca="1" ref="N56" ca="1">F_残</f>
        <v>36</v>
      </c>
      <c r="P56" t="str" cm="1">
        <f t="array" aca="1" ref="P56" ca="1">IF(isDataRow,テーブル定義コード_データ行,IF(isTermRow,テーブル定義コード_番兵行,IF(isCloseRow,テーブル定義コード_最終行,"")))</f>
        <v/>
      </c>
    </row>
    <row r="57" spans="1:16">
      <c r="A57" s="19"/>
      <c r="B57" s="19"/>
      <c r="C57" s="19"/>
      <c r="D57" s="19"/>
      <c r="E57" s="20"/>
      <c r="F57" s="20"/>
      <c r="G57" s="19"/>
      <c r="H57" s="19"/>
      <c r="I57" s="10" t="str" cm="1">
        <f t="array" aca="1" ref="I57" ca="1">IF(isEmptyRow,"",F_code)</f>
        <v/>
      </c>
      <c r="J57" s="10" t="str" cm="1">
        <f t="array" aca="1" ref="J57" ca="1">IF(isEmptyRow,"",INDIRECT("C"&amp;ROW())*INDIRECT("D"&amp;ROW()))</f>
        <v/>
      </c>
      <c r="K57" s="10" t="str" cm="1">
        <f t="array" aca="1" ref="K57" ca="1">IF(isEmptyRow,"",J57*2)</f>
        <v/>
      </c>
      <c r="L57" s="10" t="str" cm="1">
        <f t="array" aca="1" ref="L57" ca="1">IF(isEmptyRow,"",F_offset)</f>
        <v/>
      </c>
      <c r="M57" s="11" t="str" cm="1">
        <f t="array" aca="1" ref="M57" ca="1">IF(isEmptyRow,"",F_address)</f>
        <v/>
      </c>
      <c r="N57" s="15" cm="1">
        <f t="array" aca="1" ref="N57" ca="1">F_残</f>
        <v>36</v>
      </c>
      <c r="P57" t="str" cm="1">
        <f t="array" aca="1" ref="P57" ca="1">IF(isDataRow,テーブル定義コード_データ行,IF(isTermRow,テーブル定義コード_番兵行,IF(isCloseRow,テーブル定義コード_最終行,"")))</f>
        <v/>
      </c>
    </row>
    <row r="58" spans="1:16">
      <c r="A58" s="19"/>
      <c r="B58" s="19"/>
      <c r="C58" s="19"/>
      <c r="D58" s="19"/>
      <c r="E58" s="20"/>
      <c r="F58" s="20"/>
      <c r="G58" s="19"/>
      <c r="H58" s="19"/>
      <c r="I58" s="10" t="str" cm="1">
        <f t="array" aca="1" ref="I58" ca="1">IF(isEmptyRow,"",F_code)</f>
        <v/>
      </c>
      <c r="J58" s="10" t="str" cm="1">
        <f t="array" aca="1" ref="J58" ca="1">IF(isEmptyRow,"",INDIRECT("C"&amp;ROW())*INDIRECT("D"&amp;ROW()))</f>
        <v/>
      </c>
      <c r="K58" s="10" t="str" cm="1">
        <f t="array" aca="1" ref="K58" ca="1">IF(isEmptyRow,"",J58*2)</f>
        <v/>
      </c>
      <c r="L58" s="10" t="str" cm="1">
        <f t="array" aca="1" ref="L58" ca="1">IF(isEmptyRow,"",F_offset)</f>
        <v/>
      </c>
      <c r="M58" s="11" t="str" cm="1">
        <f t="array" aca="1" ref="M58" ca="1">IF(isEmptyRow,"",F_address)</f>
        <v/>
      </c>
      <c r="N58" s="15" cm="1">
        <f t="array" aca="1" ref="N58" ca="1">F_残</f>
        <v>36</v>
      </c>
      <c r="P58" t="str" cm="1">
        <f t="array" aca="1" ref="P58" ca="1">IF(isDataRow,テーブル定義コード_データ行,IF(isTermRow,テーブル定義コード_番兵行,IF(isCloseRow,テーブル定義コード_最終行,"")))</f>
        <v/>
      </c>
    </row>
    <row r="59" spans="1:16">
      <c r="A59" s="19"/>
      <c r="B59" s="19"/>
      <c r="C59" s="19"/>
      <c r="D59" s="19"/>
      <c r="E59" s="20"/>
      <c r="F59" s="20"/>
      <c r="G59" s="19"/>
      <c r="H59" s="19"/>
      <c r="I59" s="10" t="str" cm="1">
        <f t="array" aca="1" ref="I59" ca="1">IF(isEmptyRow,"",F_code)</f>
        <v/>
      </c>
      <c r="J59" s="10" t="str" cm="1">
        <f t="array" aca="1" ref="J59" ca="1">IF(isEmptyRow,"",INDIRECT("C"&amp;ROW())*INDIRECT("D"&amp;ROW()))</f>
        <v/>
      </c>
      <c r="K59" s="10" t="str" cm="1">
        <f t="array" aca="1" ref="K59" ca="1">IF(isEmptyRow,"",J59*2)</f>
        <v/>
      </c>
      <c r="L59" s="10" t="str" cm="1">
        <f t="array" aca="1" ref="L59" ca="1">IF(isEmptyRow,"",F_offset)</f>
        <v/>
      </c>
      <c r="M59" s="11" t="str" cm="1">
        <f t="array" aca="1" ref="M59" ca="1">IF(isEmptyRow,"",F_address)</f>
        <v/>
      </c>
      <c r="N59" s="15" cm="1">
        <f t="array" aca="1" ref="N59" ca="1">F_残</f>
        <v>36</v>
      </c>
      <c r="P59" t="str" cm="1">
        <f t="array" aca="1" ref="P59" ca="1">IF(isDataRow,テーブル定義コード_データ行,IF(isTermRow,テーブル定義コード_番兵行,IF(isCloseRow,テーブル定義コード_最終行,"")))</f>
        <v/>
      </c>
    </row>
    <row r="60" spans="1:16">
      <c r="A60" s="19"/>
      <c r="B60" s="19"/>
      <c r="C60" s="19"/>
      <c r="D60" s="19"/>
      <c r="E60" s="20"/>
      <c r="F60" s="20"/>
      <c r="G60" s="19"/>
      <c r="H60" s="19"/>
      <c r="I60" s="10" t="str" cm="1">
        <f t="array" aca="1" ref="I60" ca="1">IF(isEmptyRow,"",F_code)</f>
        <v/>
      </c>
      <c r="J60" s="10" t="str" cm="1">
        <f t="array" aca="1" ref="J60" ca="1">IF(isEmptyRow,"",INDIRECT("C"&amp;ROW())*INDIRECT("D"&amp;ROW()))</f>
        <v/>
      </c>
      <c r="K60" s="10" t="str" cm="1">
        <f t="array" aca="1" ref="K60" ca="1">IF(isEmptyRow,"",J60*2)</f>
        <v/>
      </c>
      <c r="L60" s="10" t="str" cm="1">
        <f t="array" aca="1" ref="L60" ca="1">IF(isEmptyRow,"",F_offset)</f>
        <v/>
      </c>
      <c r="M60" s="11" t="str" cm="1">
        <f t="array" aca="1" ref="M60" ca="1">IF(isEmptyRow,"",F_address)</f>
        <v/>
      </c>
      <c r="N60" s="15" cm="1">
        <f t="array" aca="1" ref="N60" ca="1">F_残</f>
        <v>36</v>
      </c>
      <c r="P60" t="str" cm="1">
        <f t="array" aca="1" ref="P60" ca="1">IF(isDataRow,テーブル定義コード_データ行,IF(isTermRow,テーブル定義コード_番兵行,IF(isCloseRow,テーブル定義コード_最終行,"")))</f>
        <v/>
      </c>
    </row>
    <row r="61" spans="1:16">
      <c r="A61" s="19"/>
      <c r="B61" s="19"/>
      <c r="C61" s="19"/>
      <c r="D61" s="19"/>
      <c r="E61" s="20"/>
      <c r="F61" s="20"/>
      <c r="G61" s="19"/>
      <c r="H61" s="19"/>
      <c r="I61" s="10" t="str" cm="1">
        <f t="array" aca="1" ref="I61" ca="1">IF(isEmptyRow,"",F_code)</f>
        <v/>
      </c>
      <c r="J61" s="10" t="str" cm="1">
        <f t="array" aca="1" ref="J61" ca="1">IF(isEmptyRow,"",INDIRECT("C"&amp;ROW())*INDIRECT("D"&amp;ROW()))</f>
        <v/>
      </c>
      <c r="K61" s="10" t="str" cm="1">
        <f t="array" aca="1" ref="K61" ca="1">IF(isEmptyRow,"",J61*2)</f>
        <v/>
      </c>
      <c r="L61" s="10" t="str" cm="1">
        <f t="array" aca="1" ref="L61" ca="1">IF(isEmptyRow,"",F_offset)</f>
        <v/>
      </c>
      <c r="M61" s="11" t="str" cm="1">
        <f t="array" aca="1" ref="M61" ca="1">IF(isEmptyRow,"",F_address)</f>
        <v/>
      </c>
      <c r="N61" s="15" cm="1">
        <f t="array" aca="1" ref="N61" ca="1">F_残</f>
        <v>36</v>
      </c>
      <c r="P61" t="str" cm="1">
        <f t="array" aca="1" ref="P61" ca="1">IF(isDataRow,テーブル定義コード_データ行,IF(isTermRow,テーブル定義コード_番兵行,IF(isCloseRow,テーブル定義コード_最終行,"")))</f>
        <v/>
      </c>
    </row>
    <row r="62" spans="1:16">
      <c r="A62" s="19"/>
      <c r="B62" s="19"/>
      <c r="C62" s="19"/>
      <c r="D62" s="19"/>
      <c r="E62" s="20"/>
      <c r="F62" s="20"/>
      <c r="G62" s="19"/>
      <c r="H62" s="19"/>
      <c r="I62" s="10" t="str" cm="1">
        <f t="array" aca="1" ref="I62" ca="1">IF(isEmptyRow,"",F_code)</f>
        <v/>
      </c>
      <c r="J62" s="10" t="str" cm="1">
        <f t="array" aca="1" ref="J62" ca="1">IF(isEmptyRow,"",INDIRECT("C"&amp;ROW())*INDIRECT("D"&amp;ROW()))</f>
        <v/>
      </c>
      <c r="K62" s="10" t="str" cm="1">
        <f t="array" aca="1" ref="K62" ca="1">IF(isEmptyRow,"",J62*2)</f>
        <v/>
      </c>
      <c r="L62" s="10" t="str" cm="1">
        <f t="array" aca="1" ref="L62" ca="1">IF(isEmptyRow,"",F_offset)</f>
        <v/>
      </c>
      <c r="M62" s="11" t="str" cm="1">
        <f t="array" aca="1" ref="M62" ca="1">IF(isEmptyRow,"",F_address)</f>
        <v/>
      </c>
      <c r="N62" s="15" cm="1">
        <f t="array" aca="1" ref="N62" ca="1">F_残</f>
        <v>36</v>
      </c>
      <c r="P62" t="str" cm="1">
        <f t="array" aca="1" ref="P62" ca="1">IF(isDataRow,テーブル定義コード_データ行,IF(isTermRow,テーブル定義コード_番兵行,IF(isCloseRow,テーブル定義コード_最終行,"")))</f>
        <v/>
      </c>
    </row>
    <row r="63" spans="1:16">
      <c r="A63" s="19"/>
      <c r="B63" s="19"/>
      <c r="C63" s="19"/>
      <c r="D63" s="19"/>
      <c r="E63" s="20"/>
      <c r="F63" s="20"/>
      <c r="G63" s="19"/>
      <c r="H63" s="19"/>
      <c r="I63" s="10" t="str" cm="1">
        <f t="array" aca="1" ref="I63" ca="1">IF(isEmptyRow,"",F_code)</f>
        <v/>
      </c>
      <c r="J63" s="10" t="str" cm="1">
        <f t="array" aca="1" ref="J63" ca="1">IF(isEmptyRow,"",INDIRECT("C"&amp;ROW())*INDIRECT("D"&amp;ROW()))</f>
        <v/>
      </c>
      <c r="K63" s="10" t="str" cm="1">
        <f t="array" aca="1" ref="K63" ca="1">IF(isEmptyRow,"",J63*2)</f>
        <v/>
      </c>
      <c r="L63" s="10" t="str" cm="1">
        <f t="array" aca="1" ref="L63" ca="1">IF(isEmptyRow,"",F_offset)</f>
        <v/>
      </c>
      <c r="M63" s="11" t="str" cm="1">
        <f t="array" aca="1" ref="M63" ca="1">IF(isEmptyRow,"",F_address)</f>
        <v/>
      </c>
      <c r="N63" s="15" cm="1">
        <f t="array" aca="1" ref="N63" ca="1">F_残</f>
        <v>36</v>
      </c>
      <c r="P63" t="str" cm="1">
        <f t="array" aca="1" ref="P63" ca="1">IF(isDataRow,テーブル定義コード_データ行,IF(isTermRow,テーブル定義コード_番兵行,IF(isCloseRow,テーブル定義コード_最終行,"")))</f>
        <v/>
      </c>
    </row>
    <row r="64" spans="1:16">
      <c r="A64" s="19"/>
      <c r="B64" s="19"/>
      <c r="C64" s="19"/>
      <c r="D64" s="19"/>
      <c r="E64" s="20"/>
      <c r="F64" s="20"/>
      <c r="G64" s="19"/>
      <c r="H64" s="19"/>
      <c r="I64" s="10" t="str" cm="1">
        <f t="array" aca="1" ref="I64" ca="1">IF(isEmptyRow,"",F_code)</f>
        <v/>
      </c>
      <c r="J64" s="10" t="str" cm="1">
        <f t="array" aca="1" ref="J64" ca="1">IF(isEmptyRow,"",INDIRECT("C"&amp;ROW())*INDIRECT("D"&amp;ROW()))</f>
        <v/>
      </c>
      <c r="K64" s="10" t="str" cm="1">
        <f t="array" aca="1" ref="K64" ca="1">IF(isEmptyRow,"",J64*2)</f>
        <v/>
      </c>
      <c r="L64" s="10" t="str" cm="1">
        <f t="array" aca="1" ref="L64" ca="1">IF(isEmptyRow,"",F_offset)</f>
        <v/>
      </c>
      <c r="M64" s="11" t="str" cm="1">
        <f t="array" aca="1" ref="M64" ca="1">IF(isEmptyRow,"",F_address)</f>
        <v/>
      </c>
      <c r="N64" s="15" cm="1">
        <f t="array" aca="1" ref="N64" ca="1">F_残</f>
        <v>36</v>
      </c>
      <c r="P64" t="str" cm="1">
        <f t="array" aca="1" ref="P64" ca="1">IF(isDataRow,テーブル定義コード_データ行,IF(isTermRow,テーブル定義コード_番兵行,IF(isCloseRow,テーブル定義コード_最終行,"")))</f>
        <v/>
      </c>
    </row>
    <row r="65" spans="1:16">
      <c r="A65" s="19"/>
      <c r="B65" s="19"/>
      <c r="C65" s="19"/>
      <c r="D65" s="19"/>
      <c r="E65" s="20"/>
      <c r="F65" s="20"/>
      <c r="G65" s="19"/>
      <c r="H65" s="19"/>
      <c r="I65" s="10" t="str" cm="1">
        <f t="array" aca="1" ref="I65" ca="1">IF(isEmptyRow,"",F_code)</f>
        <v/>
      </c>
      <c r="J65" s="10" t="str" cm="1">
        <f t="array" aca="1" ref="J65" ca="1">IF(isEmptyRow,"",INDIRECT("C"&amp;ROW())*INDIRECT("D"&amp;ROW()))</f>
        <v/>
      </c>
      <c r="K65" s="10" t="str" cm="1">
        <f t="array" aca="1" ref="K65" ca="1">IF(isEmptyRow,"",J65*2)</f>
        <v/>
      </c>
      <c r="L65" s="10" t="str" cm="1">
        <f t="array" aca="1" ref="L65" ca="1">IF(isEmptyRow,"",F_offset)</f>
        <v/>
      </c>
      <c r="M65" s="11" t="str" cm="1">
        <f t="array" aca="1" ref="M65" ca="1">IF(isEmptyRow,"",F_address)</f>
        <v/>
      </c>
      <c r="N65" s="15" cm="1">
        <f t="array" aca="1" ref="N65" ca="1">F_残</f>
        <v>36</v>
      </c>
      <c r="P65" t="str" cm="1">
        <f t="array" aca="1" ref="P65" ca="1">IF(isDataRow,テーブル定義コード_データ行,IF(isTermRow,テーブル定義コード_番兵行,IF(isCloseRow,テーブル定義コード_最終行,"")))</f>
        <v/>
      </c>
    </row>
    <row r="66" spans="1:16">
      <c r="A66" s="19"/>
      <c r="B66" s="19"/>
      <c r="C66" s="19"/>
      <c r="D66" s="19"/>
      <c r="E66" s="20"/>
      <c r="F66" s="20"/>
      <c r="G66" s="19"/>
      <c r="H66" s="19"/>
      <c r="I66" s="10" t="str" cm="1">
        <f t="array" aca="1" ref="I66" ca="1">IF(isEmptyRow,"",F_code)</f>
        <v/>
      </c>
      <c r="J66" s="10" t="str" cm="1">
        <f t="array" aca="1" ref="J66" ca="1">IF(isEmptyRow,"",INDIRECT("C"&amp;ROW())*INDIRECT("D"&amp;ROW()))</f>
        <v/>
      </c>
      <c r="K66" s="10" t="str" cm="1">
        <f t="array" aca="1" ref="K66" ca="1">IF(isEmptyRow,"",J66*2)</f>
        <v/>
      </c>
      <c r="L66" s="10" t="str" cm="1">
        <f t="array" aca="1" ref="L66" ca="1">IF(isEmptyRow,"",F_offset)</f>
        <v/>
      </c>
      <c r="M66" s="11" t="str" cm="1">
        <f t="array" aca="1" ref="M66" ca="1">IF(isEmptyRow,"",F_address)</f>
        <v/>
      </c>
      <c r="N66" s="15" cm="1">
        <f t="array" aca="1" ref="N66" ca="1">F_残</f>
        <v>36</v>
      </c>
      <c r="P66" t="str" cm="1">
        <f t="array" aca="1" ref="P66" ca="1">IF(isDataRow,テーブル定義コード_データ行,IF(isTermRow,テーブル定義コード_番兵行,IF(isCloseRow,テーブル定義コード_最終行,"")))</f>
        <v/>
      </c>
    </row>
    <row r="67" spans="1:16">
      <c r="A67" s="19"/>
      <c r="B67" s="19"/>
      <c r="C67" s="19"/>
      <c r="D67" s="19"/>
      <c r="E67" s="20"/>
      <c r="F67" s="20"/>
      <c r="G67" s="19"/>
      <c r="H67" s="19"/>
      <c r="I67" s="10" t="str" cm="1">
        <f t="array" aca="1" ref="I67" ca="1">IF(isEmptyRow,"",F_code)</f>
        <v/>
      </c>
      <c r="J67" s="10" t="str" cm="1">
        <f t="array" aca="1" ref="J67" ca="1">IF(isEmptyRow,"",INDIRECT("C"&amp;ROW())*INDIRECT("D"&amp;ROW()))</f>
        <v/>
      </c>
      <c r="K67" s="10" t="str" cm="1">
        <f t="array" aca="1" ref="K67" ca="1">IF(isEmptyRow,"",J67*2)</f>
        <v/>
      </c>
      <c r="L67" s="10" t="str" cm="1">
        <f t="array" aca="1" ref="L67" ca="1">IF(isEmptyRow,"",F_offset)</f>
        <v/>
      </c>
      <c r="M67" s="11" t="str" cm="1">
        <f t="array" aca="1" ref="M67" ca="1">IF(isEmptyRow,"",F_address)</f>
        <v/>
      </c>
      <c r="N67" s="15" cm="1">
        <f t="array" aca="1" ref="N67" ca="1">F_残</f>
        <v>36</v>
      </c>
      <c r="P67" t="str" cm="1">
        <f t="array" aca="1" ref="P67" ca="1">IF(isDataRow,テーブル定義コード_データ行,IF(isTermRow,テーブル定義コード_番兵行,IF(isCloseRow,テーブル定義コード_最終行,"")))</f>
        <v/>
      </c>
    </row>
    <row r="68" spans="1:16">
      <c r="A68" s="19"/>
      <c r="B68" s="19"/>
      <c r="C68" s="19"/>
      <c r="D68" s="19"/>
      <c r="E68" s="20"/>
      <c r="F68" s="20"/>
      <c r="G68" s="19"/>
      <c r="H68" s="19"/>
      <c r="I68" s="10" t="str" cm="1">
        <f t="array" aca="1" ref="I68" ca="1">IF(isEmptyRow,"",F_code)</f>
        <v/>
      </c>
      <c r="J68" s="10" t="str" cm="1">
        <f t="array" aca="1" ref="J68" ca="1">IF(isEmptyRow,"",INDIRECT("C"&amp;ROW())*INDIRECT("D"&amp;ROW()))</f>
        <v/>
      </c>
      <c r="K68" s="10" t="str" cm="1">
        <f t="array" aca="1" ref="K68" ca="1">IF(isEmptyRow,"",J68*2)</f>
        <v/>
      </c>
      <c r="L68" s="10" t="str" cm="1">
        <f t="array" aca="1" ref="L68" ca="1">IF(isEmptyRow,"",F_offset)</f>
        <v/>
      </c>
      <c r="M68" s="11" t="str" cm="1">
        <f t="array" aca="1" ref="M68" ca="1">IF(isEmptyRow,"",F_address)</f>
        <v/>
      </c>
      <c r="N68" s="15" cm="1">
        <f t="array" aca="1" ref="N68" ca="1">F_残</f>
        <v>36</v>
      </c>
      <c r="P68" t="str" cm="1">
        <f t="array" aca="1" ref="P68" ca="1">IF(isDataRow,テーブル定義コード_データ行,IF(isTermRow,テーブル定義コード_番兵行,IF(isCloseRow,テーブル定義コード_最終行,"")))</f>
        <v/>
      </c>
    </row>
    <row r="69" spans="1:16">
      <c r="A69" s="19"/>
      <c r="B69" s="19"/>
      <c r="C69" s="19"/>
      <c r="D69" s="19"/>
      <c r="E69" s="20"/>
      <c r="F69" s="20"/>
      <c r="G69" s="19"/>
      <c r="H69" s="19"/>
      <c r="I69" s="10" t="str" cm="1">
        <f t="array" aca="1" ref="I69" ca="1">IF(isEmptyRow,"",F_code)</f>
        <v/>
      </c>
      <c r="J69" s="10" t="str" cm="1">
        <f t="array" aca="1" ref="J69" ca="1">IF(isEmptyRow,"",INDIRECT("C"&amp;ROW())*INDIRECT("D"&amp;ROW()))</f>
        <v/>
      </c>
      <c r="K69" s="10" t="str" cm="1">
        <f t="array" aca="1" ref="K69" ca="1">IF(isEmptyRow,"",J69*2)</f>
        <v/>
      </c>
      <c r="L69" s="10" t="str" cm="1">
        <f t="array" aca="1" ref="L69" ca="1">IF(isEmptyRow,"",F_offset)</f>
        <v/>
      </c>
      <c r="M69" s="11" t="str" cm="1">
        <f t="array" aca="1" ref="M69" ca="1">IF(isEmptyRow,"",F_address)</f>
        <v/>
      </c>
      <c r="N69" s="15" cm="1">
        <f t="array" aca="1" ref="N69" ca="1">F_残</f>
        <v>36</v>
      </c>
      <c r="P69" t="str" cm="1">
        <f t="array" aca="1" ref="P69" ca="1">IF(isDataRow,テーブル定義コード_データ行,IF(isTermRow,テーブル定義コード_番兵行,IF(isCloseRow,テーブル定義コード_最終行,"")))</f>
        <v/>
      </c>
    </row>
    <row r="70" spans="1:16">
      <c r="A70" s="19"/>
      <c r="B70" s="19"/>
      <c r="C70" s="19"/>
      <c r="D70" s="19"/>
      <c r="E70" s="20"/>
      <c r="F70" s="20"/>
      <c r="G70" s="19"/>
      <c r="H70" s="19"/>
      <c r="I70" s="10" t="str" cm="1">
        <f t="array" aca="1" ref="I70" ca="1">IF(isEmptyRow,"",F_code)</f>
        <v/>
      </c>
      <c r="J70" s="10" t="str" cm="1">
        <f t="array" aca="1" ref="J70" ca="1">IF(isEmptyRow,"",INDIRECT("C"&amp;ROW())*INDIRECT("D"&amp;ROW()))</f>
        <v/>
      </c>
      <c r="K70" s="10" t="str" cm="1">
        <f t="array" aca="1" ref="K70" ca="1">IF(isEmptyRow,"",J70*2)</f>
        <v/>
      </c>
      <c r="L70" s="10" t="str" cm="1">
        <f t="array" aca="1" ref="L70" ca="1">IF(isEmptyRow,"",F_offset)</f>
        <v/>
      </c>
      <c r="M70" s="11" t="str" cm="1">
        <f t="array" aca="1" ref="M70" ca="1">IF(isEmptyRow,"",F_address)</f>
        <v/>
      </c>
      <c r="N70" s="15" cm="1">
        <f t="array" aca="1" ref="N70" ca="1">F_残</f>
        <v>36</v>
      </c>
      <c r="P70" t="str" cm="1">
        <f t="array" aca="1" ref="P70" ca="1">IF(isDataRow,テーブル定義コード_データ行,IF(isTermRow,テーブル定義コード_番兵行,IF(isCloseRow,テーブル定義コード_最終行,"")))</f>
        <v/>
      </c>
    </row>
    <row r="71" spans="1:16">
      <c r="A71" s="19"/>
      <c r="B71" s="19"/>
      <c r="C71" s="19"/>
      <c r="D71" s="19"/>
      <c r="E71" s="20"/>
      <c r="F71" s="20"/>
      <c r="G71" s="19"/>
      <c r="H71" s="19"/>
      <c r="I71" s="10" t="str" cm="1">
        <f t="array" aca="1" ref="I71" ca="1">IF(isEmptyRow,"",F_code)</f>
        <v/>
      </c>
      <c r="J71" s="10" t="str" cm="1">
        <f t="array" aca="1" ref="J71" ca="1">IF(isEmptyRow,"",INDIRECT("C"&amp;ROW())*INDIRECT("D"&amp;ROW()))</f>
        <v/>
      </c>
      <c r="K71" s="10" t="str" cm="1">
        <f t="array" aca="1" ref="K71" ca="1">IF(isEmptyRow,"",J71*2)</f>
        <v/>
      </c>
      <c r="L71" s="10" t="str" cm="1">
        <f t="array" aca="1" ref="L71" ca="1">IF(isEmptyRow,"",F_offset)</f>
        <v/>
      </c>
      <c r="M71" s="11" t="str" cm="1">
        <f t="array" aca="1" ref="M71" ca="1">IF(isEmptyRow,"",F_address)</f>
        <v/>
      </c>
      <c r="N71" s="15" cm="1">
        <f t="array" aca="1" ref="N71" ca="1">F_残</f>
        <v>36</v>
      </c>
      <c r="P71" t="str" cm="1">
        <f t="array" aca="1" ref="P71" ca="1">IF(isDataRow,テーブル定義コード_データ行,IF(isTermRow,テーブル定義コード_番兵行,IF(isCloseRow,テーブル定義コード_最終行,"")))</f>
        <v/>
      </c>
    </row>
    <row r="72" spans="1:16">
      <c r="A72" s="19"/>
      <c r="B72" s="19"/>
      <c r="C72" s="19"/>
      <c r="D72" s="19"/>
      <c r="E72" s="20"/>
      <c r="F72" s="20"/>
      <c r="G72" s="19"/>
      <c r="H72" s="19"/>
      <c r="I72" s="10" t="str" cm="1">
        <f t="array" aca="1" ref="I72" ca="1">IF(isEmptyRow,"",F_code)</f>
        <v/>
      </c>
      <c r="J72" s="10" t="str" cm="1">
        <f t="array" aca="1" ref="J72" ca="1">IF(isEmptyRow,"",INDIRECT("C"&amp;ROW())*INDIRECT("D"&amp;ROW()))</f>
        <v/>
      </c>
      <c r="K72" s="10" t="str" cm="1">
        <f t="array" aca="1" ref="K72" ca="1">IF(isEmptyRow,"",J72*2)</f>
        <v/>
      </c>
      <c r="L72" s="10" t="str" cm="1">
        <f t="array" aca="1" ref="L72" ca="1">IF(isEmptyRow,"",F_offset)</f>
        <v/>
      </c>
      <c r="M72" s="11" t="str" cm="1">
        <f t="array" aca="1" ref="M72" ca="1">IF(isEmptyRow,"",F_address)</f>
        <v/>
      </c>
      <c r="N72" s="15" cm="1">
        <f t="array" aca="1" ref="N72" ca="1">F_残</f>
        <v>36</v>
      </c>
      <c r="P72" t="str" cm="1">
        <f t="array" aca="1" ref="P72" ca="1">IF(isDataRow,テーブル定義コード_データ行,IF(isTermRow,テーブル定義コード_番兵行,IF(isCloseRow,テーブル定義コード_最終行,"")))</f>
        <v/>
      </c>
    </row>
    <row r="73" spans="1:16">
      <c r="A73" s="19"/>
      <c r="B73" s="19"/>
      <c r="C73" s="19"/>
      <c r="D73" s="19"/>
      <c r="E73" s="20"/>
      <c r="F73" s="20"/>
      <c r="G73" s="19"/>
      <c r="H73" s="19"/>
      <c r="I73" s="10" t="str" cm="1">
        <f t="array" aca="1" ref="I73" ca="1">IF(isEmptyRow,"",F_code)</f>
        <v/>
      </c>
      <c r="J73" s="10" t="str" cm="1">
        <f t="array" aca="1" ref="J73" ca="1">IF(isEmptyRow,"",INDIRECT("C"&amp;ROW())*INDIRECT("D"&amp;ROW()))</f>
        <v/>
      </c>
      <c r="K73" s="10" t="str" cm="1">
        <f t="array" aca="1" ref="K73" ca="1">IF(isEmptyRow,"",J73*2)</f>
        <v/>
      </c>
      <c r="L73" s="10" t="str" cm="1">
        <f t="array" aca="1" ref="L73" ca="1">IF(isEmptyRow,"",F_offset)</f>
        <v/>
      </c>
      <c r="M73" s="11" t="str" cm="1">
        <f t="array" aca="1" ref="M73" ca="1">IF(isEmptyRow,"",F_address)</f>
        <v/>
      </c>
      <c r="N73" s="15" cm="1">
        <f t="array" aca="1" ref="N73" ca="1">F_残</f>
        <v>36</v>
      </c>
      <c r="P73" t="str" cm="1">
        <f t="array" aca="1" ref="P73" ca="1">IF(isDataRow,テーブル定義コード_データ行,IF(isTermRow,テーブル定義コード_番兵行,IF(isCloseRow,テーブル定義コード_最終行,"")))</f>
        <v/>
      </c>
    </row>
    <row r="74" spans="1:16">
      <c r="A74" s="19"/>
      <c r="B74" s="19"/>
      <c r="C74" s="19"/>
      <c r="D74" s="19"/>
      <c r="E74" s="20"/>
      <c r="F74" s="20"/>
      <c r="G74" s="19"/>
      <c r="H74" s="19"/>
      <c r="I74" s="10" t="str" cm="1">
        <f t="array" aca="1" ref="I74" ca="1">IF(isEmptyRow,"",F_code)</f>
        <v/>
      </c>
      <c r="J74" s="10" t="str" cm="1">
        <f t="array" aca="1" ref="J74" ca="1">IF(isEmptyRow,"",INDIRECT("C"&amp;ROW())*INDIRECT("D"&amp;ROW()))</f>
        <v/>
      </c>
      <c r="K74" s="10" t="str" cm="1">
        <f t="array" aca="1" ref="K74" ca="1">IF(isEmptyRow,"",J74*2)</f>
        <v/>
      </c>
      <c r="L74" s="10" t="str" cm="1">
        <f t="array" aca="1" ref="L74" ca="1">IF(isEmptyRow,"",F_offset)</f>
        <v/>
      </c>
      <c r="M74" s="11" t="str" cm="1">
        <f t="array" aca="1" ref="M74" ca="1">IF(isEmptyRow,"",F_address)</f>
        <v/>
      </c>
      <c r="N74" s="15" cm="1">
        <f t="array" aca="1" ref="N74" ca="1">F_残</f>
        <v>36</v>
      </c>
      <c r="P74" t="str" cm="1">
        <f t="array" aca="1" ref="P74" ca="1">IF(isDataRow,テーブル定義コード_データ行,IF(isTermRow,テーブル定義コード_番兵行,IF(isCloseRow,テーブル定義コード_最終行,"")))</f>
        <v/>
      </c>
    </row>
    <row r="75" spans="1:16">
      <c r="A75" s="19"/>
      <c r="B75" s="19"/>
      <c r="C75" s="19"/>
      <c r="D75" s="19"/>
      <c r="E75" s="20"/>
      <c r="F75" s="20"/>
      <c r="G75" s="19"/>
      <c r="H75" s="19"/>
      <c r="I75" s="10" t="str" cm="1">
        <f t="array" aca="1" ref="I75" ca="1">IF(isEmptyRow,"",F_code)</f>
        <v/>
      </c>
      <c r="J75" s="10" t="str" cm="1">
        <f t="array" aca="1" ref="J75" ca="1">IF(isEmptyRow,"",INDIRECT("C"&amp;ROW())*INDIRECT("D"&amp;ROW()))</f>
        <v/>
      </c>
      <c r="K75" s="10" t="str" cm="1">
        <f t="array" aca="1" ref="K75" ca="1">IF(isEmptyRow,"",J75*2)</f>
        <v/>
      </c>
      <c r="L75" s="10" t="str" cm="1">
        <f t="array" aca="1" ref="L75" ca="1">IF(isEmptyRow,"",F_offset)</f>
        <v/>
      </c>
      <c r="M75" s="11" t="str" cm="1">
        <f t="array" aca="1" ref="M75" ca="1">IF(isEmptyRow,"",F_address)</f>
        <v/>
      </c>
      <c r="N75" s="15" cm="1">
        <f t="array" aca="1" ref="N75" ca="1">F_残</f>
        <v>36</v>
      </c>
      <c r="P75" t="str" cm="1">
        <f t="array" aca="1" ref="P75" ca="1">IF(isDataRow,テーブル定義コード_データ行,IF(isTermRow,テーブル定義コード_番兵行,IF(isCloseRow,テーブル定義コード_最終行,"")))</f>
        <v/>
      </c>
    </row>
    <row r="76" spans="1:16">
      <c r="A76" s="19"/>
      <c r="B76" s="19"/>
      <c r="C76" s="19"/>
      <c r="D76" s="19"/>
      <c r="E76" s="20"/>
      <c r="F76" s="20"/>
      <c r="G76" s="19"/>
      <c r="H76" s="19"/>
      <c r="I76" s="10" t="str" cm="1">
        <f t="array" aca="1" ref="I76" ca="1">IF(isEmptyRow,"",F_code)</f>
        <v/>
      </c>
      <c r="J76" s="10" t="str" cm="1">
        <f t="array" aca="1" ref="J76" ca="1">IF(isEmptyRow,"",INDIRECT("C"&amp;ROW())*INDIRECT("D"&amp;ROW()))</f>
        <v/>
      </c>
      <c r="K76" s="10" t="str" cm="1">
        <f t="array" aca="1" ref="K76" ca="1">IF(isEmptyRow,"",J76*2)</f>
        <v/>
      </c>
      <c r="L76" s="10" t="str" cm="1">
        <f t="array" aca="1" ref="L76" ca="1">IF(isEmptyRow,"",F_offset)</f>
        <v/>
      </c>
      <c r="M76" s="11" t="str" cm="1">
        <f t="array" aca="1" ref="M76" ca="1">IF(isEmptyRow,"",F_address)</f>
        <v/>
      </c>
      <c r="N76" s="15" cm="1">
        <f t="array" aca="1" ref="N76" ca="1">F_残</f>
        <v>36</v>
      </c>
      <c r="P76" t="str" cm="1">
        <f t="array" aca="1" ref="P76" ca="1">IF(isDataRow,テーブル定義コード_データ行,IF(isTermRow,テーブル定義コード_番兵行,IF(isCloseRow,テーブル定義コード_最終行,"")))</f>
        <v/>
      </c>
    </row>
    <row r="77" spans="1:16">
      <c r="A77" s="19"/>
      <c r="B77" s="19"/>
      <c r="C77" s="19"/>
      <c r="D77" s="19"/>
      <c r="E77" s="20"/>
      <c r="F77" s="20"/>
      <c r="G77" s="19"/>
      <c r="H77" s="19"/>
      <c r="I77" s="10" t="str" cm="1">
        <f t="array" aca="1" ref="I77" ca="1">IF(isEmptyRow,"",F_code)</f>
        <v/>
      </c>
      <c r="J77" s="10" t="str" cm="1">
        <f t="array" aca="1" ref="J77" ca="1">IF(isEmptyRow,"",INDIRECT("C"&amp;ROW())*INDIRECT("D"&amp;ROW()))</f>
        <v/>
      </c>
      <c r="K77" s="10" t="str" cm="1">
        <f t="array" aca="1" ref="K77" ca="1">IF(isEmptyRow,"",J77*2)</f>
        <v/>
      </c>
      <c r="L77" s="10" t="str" cm="1">
        <f t="array" aca="1" ref="L77" ca="1">IF(isEmptyRow,"",F_offset)</f>
        <v/>
      </c>
      <c r="M77" s="11" t="str" cm="1">
        <f t="array" aca="1" ref="M77" ca="1">IF(isEmptyRow,"",F_address)</f>
        <v/>
      </c>
      <c r="N77" s="15" cm="1">
        <f t="array" aca="1" ref="N77" ca="1">F_残</f>
        <v>36</v>
      </c>
      <c r="P77" t="str" cm="1">
        <f t="array" aca="1" ref="P77" ca="1">IF(isDataRow,テーブル定義コード_データ行,IF(isTermRow,テーブル定義コード_番兵行,IF(isCloseRow,テーブル定義コード_最終行,"")))</f>
        <v/>
      </c>
    </row>
    <row r="78" spans="1:16">
      <c r="A78" s="19"/>
      <c r="B78" s="19"/>
      <c r="C78" s="19"/>
      <c r="D78" s="19"/>
      <c r="E78" s="20"/>
      <c r="F78" s="20"/>
      <c r="G78" s="19"/>
      <c r="H78" s="19"/>
      <c r="I78" s="10" t="str" cm="1">
        <f t="array" aca="1" ref="I78" ca="1">IF(isEmptyRow,"",F_code)</f>
        <v/>
      </c>
      <c r="J78" s="10" t="str" cm="1">
        <f t="array" aca="1" ref="J78" ca="1">IF(isEmptyRow,"",INDIRECT("C"&amp;ROW())*INDIRECT("D"&amp;ROW()))</f>
        <v/>
      </c>
      <c r="K78" s="10" t="str" cm="1">
        <f t="array" aca="1" ref="K78" ca="1">IF(isEmptyRow,"",J78*2)</f>
        <v/>
      </c>
      <c r="L78" s="10" t="str" cm="1">
        <f t="array" aca="1" ref="L78" ca="1">IF(isEmptyRow,"",F_offset)</f>
        <v/>
      </c>
      <c r="M78" s="11" t="str" cm="1">
        <f t="array" aca="1" ref="M78" ca="1">IF(isEmptyRow,"",F_address)</f>
        <v/>
      </c>
      <c r="N78" s="15" cm="1">
        <f t="array" aca="1" ref="N78" ca="1">F_残</f>
        <v>36</v>
      </c>
      <c r="P78" t="str" cm="1">
        <f t="array" aca="1" ref="P78" ca="1">IF(isDataRow,テーブル定義コード_データ行,IF(isTermRow,テーブル定義コード_番兵行,IF(isCloseRow,テーブル定義コード_最終行,"")))</f>
        <v/>
      </c>
    </row>
    <row r="79" spans="1:16">
      <c r="A79" s="19"/>
      <c r="B79" s="19"/>
      <c r="C79" s="19"/>
      <c r="D79" s="19"/>
      <c r="E79" s="20"/>
      <c r="F79" s="20"/>
      <c r="G79" s="19"/>
      <c r="H79" s="19"/>
      <c r="I79" s="10" t="str" cm="1">
        <f t="array" aca="1" ref="I79" ca="1">IF(isEmptyRow,"",F_code)</f>
        <v/>
      </c>
      <c r="J79" s="10" t="str" cm="1">
        <f t="array" aca="1" ref="J79" ca="1">IF(isEmptyRow,"",INDIRECT("C"&amp;ROW())*INDIRECT("D"&amp;ROW()))</f>
        <v/>
      </c>
      <c r="K79" s="10" t="str" cm="1">
        <f t="array" aca="1" ref="K79" ca="1">IF(isEmptyRow,"",J79*2)</f>
        <v/>
      </c>
      <c r="L79" s="10" t="str" cm="1">
        <f t="array" aca="1" ref="L79" ca="1">IF(isEmptyRow,"",F_offset)</f>
        <v/>
      </c>
      <c r="M79" s="11" t="str" cm="1">
        <f t="array" aca="1" ref="M79" ca="1">IF(isEmptyRow,"",F_address)</f>
        <v/>
      </c>
      <c r="N79" s="15" cm="1">
        <f t="array" aca="1" ref="N79" ca="1">F_残</f>
        <v>36</v>
      </c>
      <c r="P79" t="str" cm="1">
        <f t="array" aca="1" ref="P79" ca="1">IF(isDataRow,テーブル定義コード_データ行,IF(isTermRow,テーブル定義コード_番兵行,IF(isCloseRow,テーブル定義コード_最終行,"")))</f>
        <v/>
      </c>
    </row>
    <row r="80" spans="1:16">
      <c r="A80" s="19"/>
      <c r="B80" s="19"/>
      <c r="C80" s="19"/>
      <c r="D80" s="19"/>
      <c r="E80" s="20"/>
      <c r="F80" s="20"/>
      <c r="G80" s="19"/>
      <c r="H80" s="19"/>
      <c r="I80" s="10" t="str" cm="1">
        <f t="array" aca="1" ref="I80" ca="1">IF(isEmptyRow,"",F_code)</f>
        <v/>
      </c>
      <c r="J80" s="10" t="str" cm="1">
        <f t="array" aca="1" ref="J80" ca="1">IF(isEmptyRow,"",INDIRECT("C"&amp;ROW())*INDIRECT("D"&amp;ROW()))</f>
        <v/>
      </c>
      <c r="K80" s="10" t="str" cm="1">
        <f t="array" aca="1" ref="K80" ca="1">IF(isEmptyRow,"",J80*2)</f>
        <v/>
      </c>
      <c r="L80" s="10" t="str" cm="1">
        <f t="array" aca="1" ref="L80" ca="1">IF(isEmptyRow,"",F_offset)</f>
        <v/>
      </c>
      <c r="M80" s="11" t="str" cm="1">
        <f t="array" aca="1" ref="M80" ca="1">IF(isEmptyRow,"",F_address)</f>
        <v/>
      </c>
      <c r="N80" s="15" cm="1">
        <f t="array" aca="1" ref="N80" ca="1">F_残</f>
        <v>36</v>
      </c>
      <c r="P80" t="str" cm="1">
        <f t="array" aca="1" ref="P80" ca="1">IF(isDataRow,テーブル定義コード_データ行,IF(isTermRow,テーブル定義コード_番兵行,IF(isCloseRow,テーブル定義コード_最終行,"")))</f>
        <v/>
      </c>
    </row>
    <row r="81" spans="1:16">
      <c r="A81" s="19"/>
      <c r="B81" s="19"/>
      <c r="C81" s="19"/>
      <c r="D81" s="19"/>
      <c r="E81" s="20"/>
      <c r="F81" s="20"/>
      <c r="G81" s="19"/>
      <c r="H81" s="19"/>
      <c r="I81" s="10" t="str" cm="1">
        <f t="array" aca="1" ref="I81" ca="1">IF(isEmptyRow,"",F_code)</f>
        <v/>
      </c>
      <c r="J81" s="10" t="str" cm="1">
        <f t="array" aca="1" ref="J81" ca="1">IF(isEmptyRow,"",INDIRECT("C"&amp;ROW())*INDIRECT("D"&amp;ROW()))</f>
        <v/>
      </c>
      <c r="K81" s="10" t="str" cm="1">
        <f t="array" aca="1" ref="K81" ca="1">IF(isEmptyRow,"",J81*2)</f>
        <v/>
      </c>
      <c r="L81" s="10" t="str" cm="1">
        <f t="array" aca="1" ref="L81" ca="1">IF(isEmptyRow,"",F_offset)</f>
        <v/>
      </c>
      <c r="M81" s="11" t="str" cm="1">
        <f t="array" aca="1" ref="M81" ca="1">IF(isEmptyRow,"",F_address)</f>
        <v/>
      </c>
      <c r="N81" s="15" cm="1">
        <f t="array" aca="1" ref="N81" ca="1">F_残</f>
        <v>36</v>
      </c>
      <c r="P81" t="str" cm="1">
        <f t="array" aca="1" ref="P81" ca="1">IF(isDataRow,テーブル定義コード_データ行,IF(isTermRow,テーブル定義コード_番兵行,IF(isCloseRow,テーブル定義コード_最終行,"")))</f>
        <v/>
      </c>
    </row>
    <row r="82" spans="1:16">
      <c r="A82" s="19"/>
      <c r="B82" s="19"/>
      <c r="C82" s="19"/>
      <c r="D82" s="19"/>
      <c r="E82" s="20"/>
      <c r="F82" s="20"/>
      <c r="G82" s="19"/>
      <c r="H82" s="19"/>
      <c r="I82" s="10" t="str" cm="1">
        <f t="array" aca="1" ref="I82" ca="1">IF(isEmptyRow,"",F_code)</f>
        <v/>
      </c>
      <c r="J82" s="10" t="str" cm="1">
        <f t="array" aca="1" ref="J82" ca="1">IF(isEmptyRow,"",INDIRECT("C"&amp;ROW())*INDIRECT("D"&amp;ROW()))</f>
        <v/>
      </c>
      <c r="K82" s="10" t="str" cm="1">
        <f t="array" aca="1" ref="K82" ca="1">IF(isEmptyRow,"",J82*2)</f>
        <v/>
      </c>
      <c r="L82" s="10" t="str" cm="1">
        <f t="array" aca="1" ref="L82" ca="1">IF(isEmptyRow,"",F_offset)</f>
        <v/>
      </c>
      <c r="M82" s="11" t="str" cm="1">
        <f t="array" aca="1" ref="M82" ca="1">IF(isEmptyRow,"",F_address)</f>
        <v/>
      </c>
      <c r="N82" s="15" cm="1">
        <f t="array" aca="1" ref="N82" ca="1">F_残</f>
        <v>36</v>
      </c>
      <c r="P82" t="str" cm="1">
        <f t="array" aca="1" ref="P82" ca="1">IF(isDataRow,テーブル定義コード_データ行,IF(isTermRow,テーブル定義コード_番兵行,IF(isCloseRow,テーブル定義コード_最終行,"")))</f>
        <v/>
      </c>
    </row>
    <row r="83" spans="1:16">
      <c r="A83" s="19"/>
      <c r="B83" s="19"/>
      <c r="C83" s="19"/>
      <c r="D83" s="19"/>
      <c r="E83" s="20"/>
      <c r="F83" s="20"/>
      <c r="G83" s="19"/>
      <c r="H83" s="19"/>
      <c r="I83" s="10" t="str" cm="1">
        <f t="array" aca="1" ref="I83" ca="1">IF(isEmptyRow,"",F_code)</f>
        <v/>
      </c>
      <c r="J83" s="10" t="str" cm="1">
        <f t="array" aca="1" ref="J83" ca="1">IF(isEmptyRow,"",INDIRECT("C"&amp;ROW())*INDIRECT("D"&amp;ROW()))</f>
        <v/>
      </c>
      <c r="K83" s="10" t="str" cm="1">
        <f t="array" aca="1" ref="K83" ca="1">IF(isEmptyRow,"",J83*2)</f>
        <v/>
      </c>
      <c r="L83" s="10" t="str" cm="1">
        <f t="array" aca="1" ref="L83" ca="1">IF(isEmptyRow,"",F_offset)</f>
        <v/>
      </c>
      <c r="M83" s="11" t="str" cm="1">
        <f t="array" aca="1" ref="M83" ca="1">IF(isEmptyRow,"",F_address)</f>
        <v/>
      </c>
      <c r="N83" s="15" cm="1">
        <f t="array" aca="1" ref="N83" ca="1">F_残</f>
        <v>36</v>
      </c>
      <c r="P83" t="str" cm="1">
        <f t="array" aca="1" ref="P83" ca="1">IF(isDataRow,テーブル定義コード_データ行,IF(isTermRow,テーブル定義コード_番兵行,IF(isCloseRow,テーブル定義コード_最終行,"")))</f>
        <v/>
      </c>
    </row>
    <row r="84" spans="1:16">
      <c r="A84" s="19"/>
      <c r="B84" s="19"/>
      <c r="C84" s="19"/>
      <c r="D84" s="19"/>
      <c r="E84" s="20"/>
      <c r="F84" s="20"/>
      <c r="G84" s="19"/>
      <c r="H84" s="19"/>
      <c r="I84" s="10" t="str" cm="1">
        <f t="array" aca="1" ref="I84" ca="1">IF(isEmptyRow,"",F_code)</f>
        <v/>
      </c>
      <c r="J84" s="10" t="str" cm="1">
        <f t="array" aca="1" ref="J84" ca="1">IF(isEmptyRow,"",INDIRECT("C"&amp;ROW())*INDIRECT("D"&amp;ROW()))</f>
        <v/>
      </c>
      <c r="K84" s="10" t="str" cm="1">
        <f t="array" aca="1" ref="K84" ca="1">IF(isEmptyRow,"",J84*2)</f>
        <v/>
      </c>
      <c r="L84" s="10" t="str" cm="1">
        <f t="array" aca="1" ref="L84" ca="1">IF(isEmptyRow,"",F_offset)</f>
        <v/>
      </c>
      <c r="M84" s="11" t="str" cm="1">
        <f t="array" aca="1" ref="M84" ca="1">IF(isEmptyRow,"",F_address)</f>
        <v/>
      </c>
      <c r="N84" s="15" cm="1">
        <f t="array" aca="1" ref="N84" ca="1">F_残</f>
        <v>36</v>
      </c>
      <c r="P84" t="str" cm="1">
        <f t="array" aca="1" ref="P84" ca="1">IF(isDataRow,テーブル定義コード_データ行,IF(isTermRow,テーブル定義コード_番兵行,IF(isCloseRow,テーブル定義コード_最終行,"")))</f>
        <v/>
      </c>
    </row>
    <row r="85" spans="1:16">
      <c r="A85" s="19"/>
      <c r="B85" s="19"/>
      <c r="C85" s="19"/>
      <c r="D85" s="19"/>
      <c r="E85" s="20"/>
      <c r="F85" s="20"/>
      <c r="G85" s="19"/>
      <c r="H85" s="19"/>
      <c r="I85" s="10" t="str" cm="1">
        <f t="array" aca="1" ref="I85" ca="1">IF(isEmptyRow,"",F_code)</f>
        <v/>
      </c>
      <c r="J85" s="10" t="str" cm="1">
        <f t="array" aca="1" ref="J85" ca="1">IF(isEmptyRow,"",INDIRECT("C"&amp;ROW())*INDIRECT("D"&amp;ROW()))</f>
        <v/>
      </c>
      <c r="K85" s="10" t="str" cm="1">
        <f t="array" aca="1" ref="K85" ca="1">IF(isEmptyRow,"",J85*2)</f>
        <v/>
      </c>
      <c r="L85" s="10" t="str" cm="1">
        <f t="array" aca="1" ref="L85" ca="1">IF(isEmptyRow,"",F_offset)</f>
        <v/>
      </c>
      <c r="M85" s="11" t="str" cm="1">
        <f t="array" aca="1" ref="M85" ca="1">IF(isEmptyRow,"",F_address)</f>
        <v/>
      </c>
      <c r="N85" s="15" cm="1">
        <f t="array" aca="1" ref="N85" ca="1">F_残</f>
        <v>36</v>
      </c>
      <c r="P85" t="str" cm="1">
        <f t="array" aca="1" ref="P85" ca="1">IF(isDataRow,テーブル定義コード_データ行,IF(isTermRow,テーブル定義コード_番兵行,IF(isCloseRow,テーブル定義コード_最終行,"")))</f>
        <v/>
      </c>
    </row>
    <row r="86" spans="1:16">
      <c r="A86" s="19"/>
      <c r="B86" s="19"/>
      <c r="C86" s="19"/>
      <c r="D86" s="19"/>
      <c r="E86" s="20"/>
      <c r="F86" s="20"/>
      <c r="G86" s="19"/>
      <c r="H86" s="19"/>
      <c r="I86" s="10" t="str" cm="1">
        <f t="array" aca="1" ref="I86" ca="1">IF(isEmptyRow,"",F_code)</f>
        <v/>
      </c>
      <c r="J86" s="10" t="str" cm="1">
        <f t="array" aca="1" ref="J86" ca="1">IF(isEmptyRow,"",INDIRECT("C"&amp;ROW())*INDIRECT("D"&amp;ROW()))</f>
        <v/>
      </c>
      <c r="K86" s="10" t="str" cm="1">
        <f t="array" aca="1" ref="K86" ca="1">IF(isEmptyRow,"",J86*2)</f>
        <v/>
      </c>
      <c r="L86" s="10" t="str" cm="1">
        <f t="array" aca="1" ref="L86" ca="1">IF(isEmptyRow,"",F_offset)</f>
        <v/>
      </c>
      <c r="M86" s="11" t="str" cm="1">
        <f t="array" aca="1" ref="M86" ca="1">IF(isEmptyRow,"",F_address)</f>
        <v/>
      </c>
      <c r="N86" s="15" cm="1">
        <f t="array" aca="1" ref="N86" ca="1">F_残</f>
        <v>36</v>
      </c>
      <c r="P86" t="str" cm="1">
        <f t="array" aca="1" ref="P86" ca="1">IF(isDataRow,テーブル定義コード_データ行,IF(isTermRow,テーブル定義コード_番兵行,IF(isCloseRow,テーブル定義コード_最終行,"")))</f>
        <v/>
      </c>
    </row>
    <row r="87" spans="1:16">
      <c r="A87" s="19"/>
      <c r="B87" s="19"/>
      <c r="C87" s="19"/>
      <c r="D87" s="19"/>
      <c r="E87" s="20"/>
      <c r="F87" s="20"/>
      <c r="G87" s="19"/>
      <c r="H87" s="19"/>
      <c r="I87" s="10" t="str" cm="1">
        <f t="array" aca="1" ref="I87" ca="1">IF(isEmptyRow,"",F_code)</f>
        <v/>
      </c>
      <c r="J87" s="10" t="str" cm="1">
        <f t="array" aca="1" ref="J87" ca="1">IF(isEmptyRow,"",INDIRECT("C"&amp;ROW())*INDIRECT("D"&amp;ROW()))</f>
        <v/>
      </c>
      <c r="K87" s="10" t="str" cm="1">
        <f t="array" aca="1" ref="K87" ca="1">IF(isEmptyRow,"",J87*2)</f>
        <v/>
      </c>
      <c r="L87" s="10" t="str" cm="1">
        <f t="array" aca="1" ref="L87" ca="1">IF(isEmptyRow,"",F_offset)</f>
        <v/>
      </c>
      <c r="M87" s="11" t="str" cm="1">
        <f t="array" aca="1" ref="M87" ca="1">IF(isEmptyRow,"",F_address)</f>
        <v/>
      </c>
      <c r="N87" s="15" cm="1">
        <f t="array" aca="1" ref="N87" ca="1">F_残</f>
        <v>36</v>
      </c>
      <c r="P87" t="str" cm="1">
        <f t="array" aca="1" ref="P87" ca="1">IF(isDataRow,テーブル定義コード_データ行,IF(isTermRow,テーブル定義コード_番兵行,IF(isCloseRow,テーブル定義コード_最終行,"")))</f>
        <v/>
      </c>
    </row>
    <row r="88" spans="1:16">
      <c r="A88" s="19"/>
      <c r="B88" s="19"/>
      <c r="C88" s="19"/>
      <c r="D88" s="19"/>
      <c r="E88" s="20"/>
      <c r="F88" s="20"/>
      <c r="G88" s="19"/>
      <c r="H88" s="19"/>
      <c r="I88" s="10" t="str" cm="1">
        <f t="array" aca="1" ref="I88" ca="1">IF(isEmptyRow,"",F_code)</f>
        <v/>
      </c>
      <c r="J88" s="10" t="str" cm="1">
        <f t="array" aca="1" ref="J88" ca="1">IF(isEmptyRow,"",INDIRECT("C"&amp;ROW())*INDIRECT("D"&amp;ROW()))</f>
        <v/>
      </c>
      <c r="K88" s="10" t="str" cm="1">
        <f t="array" aca="1" ref="K88" ca="1">IF(isEmptyRow,"",J88*2)</f>
        <v/>
      </c>
      <c r="L88" s="10" t="str" cm="1">
        <f t="array" aca="1" ref="L88" ca="1">IF(isEmptyRow,"",F_offset)</f>
        <v/>
      </c>
      <c r="M88" s="11" t="str" cm="1">
        <f t="array" aca="1" ref="M88" ca="1">IF(isEmptyRow,"",F_address)</f>
        <v/>
      </c>
      <c r="N88" s="15" cm="1">
        <f t="array" aca="1" ref="N88" ca="1">F_残</f>
        <v>36</v>
      </c>
      <c r="P88" t="str" cm="1">
        <f t="array" aca="1" ref="P88" ca="1">IF(isDataRow,テーブル定義コード_データ行,IF(isTermRow,テーブル定義コード_番兵行,IF(isCloseRow,テーブル定義コード_最終行,"")))</f>
        <v/>
      </c>
    </row>
    <row r="89" spans="1:16">
      <c r="A89" s="19"/>
      <c r="B89" s="19"/>
      <c r="C89" s="19"/>
      <c r="D89" s="19"/>
      <c r="E89" s="20"/>
      <c r="F89" s="20"/>
      <c r="G89" s="19"/>
      <c r="H89" s="19"/>
      <c r="I89" s="10" t="str" cm="1">
        <f t="array" aca="1" ref="I89" ca="1">IF(isEmptyRow,"",F_code)</f>
        <v/>
      </c>
      <c r="J89" s="10" t="str" cm="1">
        <f t="array" aca="1" ref="J89" ca="1">IF(isEmptyRow,"",INDIRECT("C"&amp;ROW())*INDIRECT("D"&amp;ROW()))</f>
        <v/>
      </c>
      <c r="K89" s="10" t="str" cm="1">
        <f t="array" aca="1" ref="K89" ca="1">IF(isEmptyRow,"",J89*2)</f>
        <v/>
      </c>
      <c r="L89" s="10" t="str" cm="1">
        <f t="array" aca="1" ref="L89" ca="1">IF(isEmptyRow,"",F_offset)</f>
        <v/>
      </c>
      <c r="M89" s="11" t="str" cm="1">
        <f t="array" aca="1" ref="M89" ca="1">IF(isEmptyRow,"",F_address)</f>
        <v/>
      </c>
      <c r="N89" s="15" cm="1">
        <f t="array" aca="1" ref="N89" ca="1">F_残</f>
        <v>36</v>
      </c>
      <c r="P89" t="str" cm="1">
        <f t="array" aca="1" ref="P89" ca="1">IF(isDataRow,テーブル定義コード_データ行,IF(isTermRow,テーブル定義コード_番兵行,IF(isCloseRow,テーブル定義コード_最終行,"")))</f>
        <v/>
      </c>
    </row>
    <row r="90" spans="1:16">
      <c r="A90" s="19"/>
      <c r="B90" s="19"/>
      <c r="C90" s="19"/>
      <c r="D90" s="19"/>
      <c r="E90" s="20"/>
      <c r="F90" s="20"/>
      <c r="G90" s="19"/>
      <c r="H90" s="19"/>
      <c r="I90" s="10" t="str" cm="1">
        <f t="array" aca="1" ref="I90" ca="1">IF(isEmptyRow,"",F_code)</f>
        <v/>
      </c>
      <c r="J90" s="10" t="str" cm="1">
        <f t="array" aca="1" ref="J90" ca="1">IF(isEmptyRow,"",INDIRECT("C"&amp;ROW())*INDIRECT("D"&amp;ROW()))</f>
        <v/>
      </c>
      <c r="K90" s="10" t="str" cm="1">
        <f t="array" aca="1" ref="K90" ca="1">IF(isEmptyRow,"",J90*2)</f>
        <v/>
      </c>
      <c r="L90" s="10" t="str" cm="1">
        <f t="array" aca="1" ref="L90" ca="1">IF(isEmptyRow,"",F_offset)</f>
        <v/>
      </c>
      <c r="M90" s="11" t="str" cm="1">
        <f t="array" aca="1" ref="M90" ca="1">IF(isEmptyRow,"",F_address)</f>
        <v/>
      </c>
      <c r="N90" s="15" cm="1">
        <f t="array" aca="1" ref="N90" ca="1">F_残</f>
        <v>36</v>
      </c>
      <c r="P90" t="str" cm="1">
        <f t="array" aca="1" ref="P90" ca="1">IF(isDataRow,テーブル定義コード_データ行,IF(isTermRow,テーブル定義コード_番兵行,IF(isCloseRow,テーブル定義コード_最終行,"")))</f>
        <v/>
      </c>
    </row>
    <row r="91" spans="1:16">
      <c r="A91" s="19"/>
      <c r="B91" s="19"/>
      <c r="C91" s="19"/>
      <c r="D91" s="19"/>
      <c r="E91" s="20"/>
      <c r="F91" s="20"/>
      <c r="G91" s="19"/>
      <c r="H91" s="19"/>
      <c r="I91" s="10" t="str" cm="1">
        <f t="array" aca="1" ref="I91" ca="1">IF(isEmptyRow,"",F_code)</f>
        <v/>
      </c>
      <c r="J91" s="10" t="str" cm="1">
        <f t="array" aca="1" ref="J91" ca="1">IF(isEmptyRow,"",INDIRECT("C"&amp;ROW())*INDIRECT("D"&amp;ROW()))</f>
        <v/>
      </c>
      <c r="K91" s="10" t="str" cm="1">
        <f t="array" aca="1" ref="K91" ca="1">IF(isEmptyRow,"",J91*2)</f>
        <v/>
      </c>
      <c r="L91" s="10" t="str" cm="1">
        <f t="array" aca="1" ref="L91" ca="1">IF(isEmptyRow,"",F_offset)</f>
        <v/>
      </c>
      <c r="M91" s="11" t="str" cm="1">
        <f t="array" aca="1" ref="M91" ca="1">IF(isEmptyRow,"",F_address)</f>
        <v/>
      </c>
      <c r="N91" s="15" cm="1">
        <f t="array" aca="1" ref="N91" ca="1">F_残</f>
        <v>36</v>
      </c>
      <c r="P91" t="str" cm="1">
        <f t="array" aca="1" ref="P91" ca="1">IF(isDataRow,テーブル定義コード_データ行,IF(isTermRow,テーブル定義コード_番兵行,IF(isCloseRow,テーブル定義コード_最終行,"")))</f>
        <v/>
      </c>
    </row>
    <row r="92" spans="1:16">
      <c r="A92" s="19"/>
      <c r="B92" s="19"/>
      <c r="C92" s="19"/>
      <c r="D92" s="19"/>
      <c r="E92" s="20"/>
      <c r="F92" s="20"/>
      <c r="G92" s="19"/>
      <c r="H92" s="19"/>
      <c r="I92" s="10" t="str" cm="1">
        <f t="array" aca="1" ref="I92" ca="1">IF(isEmptyRow,"",F_code)</f>
        <v/>
      </c>
      <c r="J92" s="10" t="str" cm="1">
        <f t="array" aca="1" ref="J92" ca="1">IF(isEmptyRow,"",INDIRECT("C"&amp;ROW())*INDIRECT("D"&amp;ROW()))</f>
        <v/>
      </c>
      <c r="K92" s="10" t="str" cm="1">
        <f t="array" aca="1" ref="K92" ca="1">IF(isEmptyRow,"",J92*2)</f>
        <v/>
      </c>
      <c r="L92" s="10" t="str" cm="1">
        <f t="array" aca="1" ref="L92" ca="1">IF(isEmptyRow,"",F_offset)</f>
        <v/>
      </c>
      <c r="M92" s="11" t="str" cm="1">
        <f t="array" aca="1" ref="M92" ca="1">IF(isEmptyRow,"",F_address)</f>
        <v/>
      </c>
      <c r="N92" s="15" cm="1">
        <f t="array" aca="1" ref="N92" ca="1">F_残</f>
        <v>36</v>
      </c>
      <c r="P92" t="str" cm="1">
        <f t="array" aca="1" ref="P92" ca="1">IF(isDataRow,テーブル定義コード_データ行,IF(isTermRow,テーブル定義コード_番兵行,IF(isCloseRow,テーブル定義コード_最終行,"")))</f>
        <v/>
      </c>
    </row>
    <row r="93" spans="1:16">
      <c r="A93" s="19"/>
      <c r="B93" s="19"/>
      <c r="C93" s="19"/>
      <c r="D93" s="19"/>
      <c r="E93" s="20"/>
      <c r="F93" s="20"/>
      <c r="G93" s="19"/>
      <c r="H93" s="19"/>
      <c r="I93" s="10" t="str" cm="1">
        <f t="array" aca="1" ref="I93" ca="1">IF(isEmptyRow,"",F_code)</f>
        <v/>
      </c>
      <c r="J93" s="10" t="str" cm="1">
        <f t="array" aca="1" ref="J93" ca="1">IF(isEmptyRow,"",INDIRECT("C"&amp;ROW())*INDIRECT("D"&amp;ROW()))</f>
        <v/>
      </c>
      <c r="K93" s="10" t="str" cm="1">
        <f t="array" aca="1" ref="K93" ca="1">IF(isEmptyRow,"",J93*2)</f>
        <v/>
      </c>
      <c r="L93" s="10" t="str" cm="1">
        <f t="array" aca="1" ref="L93" ca="1">IF(isEmptyRow,"",F_offset)</f>
        <v/>
      </c>
      <c r="M93" s="11" t="str" cm="1">
        <f t="array" aca="1" ref="M93" ca="1">IF(isEmptyRow,"",F_address)</f>
        <v/>
      </c>
      <c r="N93" s="15" cm="1">
        <f t="array" aca="1" ref="N93" ca="1">F_残</f>
        <v>36</v>
      </c>
      <c r="P93" t="str" cm="1">
        <f t="array" aca="1" ref="P93" ca="1">IF(isDataRow,テーブル定義コード_データ行,IF(isTermRow,テーブル定義コード_番兵行,IF(isCloseRow,テーブル定義コード_最終行,"")))</f>
        <v/>
      </c>
    </row>
    <row r="94" spans="1:16">
      <c r="A94" s="19"/>
      <c r="B94" s="19"/>
      <c r="C94" s="19"/>
      <c r="D94" s="19"/>
      <c r="E94" s="20"/>
      <c r="F94" s="20"/>
      <c r="G94" s="19"/>
      <c r="H94" s="19"/>
      <c r="I94" s="10" t="str" cm="1">
        <f t="array" aca="1" ref="I94" ca="1">IF(isEmptyRow,"",F_code)</f>
        <v/>
      </c>
      <c r="J94" s="10" t="str" cm="1">
        <f t="array" aca="1" ref="J94" ca="1">IF(isEmptyRow,"",INDIRECT("C"&amp;ROW())*INDIRECT("D"&amp;ROW()))</f>
        <v/>
      </c>
      <c r="K94" s="10" t="str" cm="1">
        <f t="array" aca="1" ref="K94" ca="1">IF(isEmptyRow,"",J94*2)</f>
        <v/>
      </c>
      <c r="L94" s="10" t="str" cm="1">
        <f t="array" aca="1" ref="L94" ca="1">IF(isEmptyRow,"",F_offset)</f>
        <v/>
      </c>
      <c r="M94" s="11" t="str" cm="1">
        <f t="array" aca="1" ref="M94" ca="1">IF(isEmptyRow,"",F_address)</f>
        <v/>
      </c>
      <c r="N94" s="15" cm="1">
        <f t="array" aca="1" ref="N94" ca="1">F_残</f>
        <v>36</v>
      </c>
      <c r="P94" t="str" cm="1">
        <f t="array" aca="1" ref="P94" ca="1">IF(isDataRow,テーブル定義コード_データ行,IF(isTermRow,テーブル定義コード_番兵行,IF(isCloseRow,テーブル定義コード_最終行,"")))</f>
        <v/>
      </c>
    </row>
    <row r="95" spans="1:16">
      <c r="A95" s="19"/>
      <c r="B95" s="19"/>
      <c r="C95" s="19"/>
      <c r="D95" s="19"/>
      <c r="E95" s="20"/>
      <c r="F95" s="20"/>
      <c r="G95" s="19"/>
      <c r="H95" s="19"/>
      <c r="I95" s="10" t="str" cm="1">
        <f t="array" aca="1" ref="I95" ca="1">IF(isEmptyRow,"",F_code)</f>
        <v/>
      </c>
      <c r="J95" s="10" t="str" cm="1">
        <f t="array" aca="1" ref="J95" ca="1">IF(isEmptyRow,"",INDIRECT("C"&amp;ROW())*INDIRECT("D"&amp;ROW()))</f>
        <v/>
      </c>
      <c r="K95" s="10" t="str" cm="1">
        <f t="array" aca="1" ref="K95" ca="1">IF(isEmptyRow,"",J95*2)</f>
        <v/>
      </c>
      <c r="L95" s="10" t="str" cm="1">
        <f t="array" aca="1" ref="L95" ca="1">IF(isEmptyRow,"",F_offset)</f>
        <v/>
      </c>
      <c r="M95" s="11" t="str" cm="1">
        <f t="array" aca="1" ref="M95" ca="1">IF(isEmptyRow,"",F_address)</f>
        <v/>
      </c>
      <c r="N95" s="15" cm="1">
        <f t="array" aca="1" ref="N95" ca="1">F_残</f>
        <v>36</v>
      </c>
      <c r="P95" t="str" cm="1">
        <f t="array" aca="1" ref="P95" ca="1">IF(isDataRow,テーブル定義コード_データ行,IF(isTermRow,テーブル定義コード_番兵行,IF(isCloseRow,テーブル定義コード_最終行,"")))</f>
        <v/>
      </c>
    </row>
    <row r="96" spans="1:16">
      <c r="A96" s="19"/>
      <c r="B96" s="19"/>
      <c r="C96" s="19"/>
      <c r="D96" s="19"/>
      <c r="E96" s="20"/>
      <c r="F96" s="20"/>
      <c r="G96" s="19"/>
      <c r="H96" s="19"/>
      <c r="I96" s="10" t="str" cm="1">
        <f t="array" aca="1" ref="I96" ca="1">IF(isEmptyRow,"",F_code)</f>
        <v/>
      </c>
      <c r="J96" s="10" t="str" cm="1">
        <f t="array" aca="1" ref="J96" ca="1">IF(isEmptyRow,"",INDIRECT("C"&amp;ROW())*INDIRECT("D"&amp;ROW()))</f>
        <v/>
      </c>
      <c r="K96" s="10" t="str" cm="1">
        <f t="array" aca="1" ref="K96" ca="1">IF(isEmptyRow,"",J96*2)</f>
        <v/>
      </c>
      <c r="L96" s="10" t="str" cm="1">
        <f t="array" aca="1" ref="L96" ca="1">IF(isEmptyRow,"",F_offset)</f>
        <v/>
      </c>
      <c r="M96" s="11" t="str" cm="1">
        <f t="array" aca="1" ref="M96" ca="1">IF(isEmptyRow,"",F_address)</f>
        <v/>
      </c>
      <c r="N96" s="15" cm="1">
        <f t="array" aca="1" ref="N96" ca="1">F_残</f>
        <v>36</v>
      </c>
      <c r="P96" t="str" cm="1">
        <f t="array" aca="1" ref="P96" ca="1">IF(isDataRow,テーブル定義コード_データ行,IF(isTermRow,テーブル定義コード_番兵行,IF(isCloseRow,テーブル定義コード_最終行,"")))</f>
        <v/>
      </c>
    </row>
    <row r="97" spans="1:16">
      <c r="A97" s="19"/>
      <c r="B97" s="19"/>
      <c r="C97" s="19"/>
      <c r="D97" s="19"/>
      <c r="E97" s="20"/>
      <c r="F97" s="20"/>
      <c r="G97" s="19"/>
      <c r="H97" s="19"/>
      <c r="I97" s="10" t="str" cm="1">
        <f t="array" aca="1" ref="I97" ca="1">IF(isEmptyRow,"",F_code)</f>
        <v/>
      </c>
      <c r="J97" s="10" t="str" cm="1">
        <f t="array" aca="1" ref="J97" ca="1">IF(isEmptyRow,"",INDIRECT("C"&amp;ROW())*INDIRECT("D"&amp;ROW()))</f>
        <v/>
      </c>
      <c r="K97" s="10" t="str" cm="1">
        <f t="array" aca="1" ref="K97" ca="1">IF(isEmptyRow,"",J97*2)</f>
        <v/>
      </c>
      <c r="L97" s="10" t="str" cm="1">
        <f t="array" aca="1" ref="L97" ca="1">IF(isEmptyRow,"",F_offset)</f>
        <v/>
      </c>
      <c r="M97" s="11" t="str" cm="1">
        <f t="array" aca="1" ref="M97" ca="1">IF(isEmptyRow,"",F_address)</f>
        <v/>
      </c>
      <c r="N97" s="15" cm="1">
        <f t="array" aca="1" ref="N97" ca="1">F_残</f>
        <v>36</v>
      </c>
      <c r="P97" t="str" cm="1">
        <f t="array" aca="1" ref="P97" ca="1">IF(isDataRow,テーブル定義コード_データ行,IF(isTermRow,テーブル定義コード_番兵行,IF(isCloseRow,テーブル定義コード_最終行,"")))</f>
        <v/>
      </c>
    </row>
    <row r="98" spans="1:16">
      <c r="A98" s="19"/>
      <c r="B98" s="19"/>
      <c r="C98" s="19"/>
      <c r="D98" s="19"/>
      <c r="E98" s="20"/>
      <c r="F98" s="20"/>
      <c r="G98" s="19"/>
      <c r="H98" s="19"/>
      <c r="I98" s="10" t="str" cm="1">
        <f t="array" aca="1" ref="I98" ca="1">IF(isEmptyRow,"",F_code)</f>
        <v/>
      </c>
      <c r="J98" s="10" t="str" cm="1">
        <f t="array" aca="1" ref="J98" ca="1">IF(isEmptyRow,"",INDIRECT("C"&amp;ROW())*INDIRECT("D"&amp;ROW()))</f>
        <v/>
      </c>
      <c r="K98" s="10" t="str" cm="1">
        <f t="array" aca="1" ref="K98" ca="1">IF(isEmptyRow,"",J98*2)</f>
        <v/>
      </c>
      <c r="L98" s="10" t="str" cm="1">
        <f t="array" aca="1" ref="L98" ca="1">IF(isEmptyRow,"",F_offset)</f>
        <v/>
      </c>
      <c r="M98" s="11" t="str" cm="1">
        <f t="array" aca="1" ref="M98" ca="1">IF(isEmptyRow,"",F_address)</f>
        <v/>
      </c>
      <c r="N98" s="15" cm="1">
        <f t="array" aca="1" ref="N98" ca="1">F_残</f>
        <v>36</v>
      </c>
      <c r="P98" t="str" cm="1">
        <f t="array" aca="1" ref="P98" ca="1">IF(isDataRow,テーブル定義コード_データ行,IF(isTermRow,テーブル定義コード_番兵行,IF(isCloseRow,テーブル定義コード_最終行,"")))</f>
        <v/>
      </c>
    </row>
    <row r="99" spans="1:16">
      <c r="A99" s="19"/>
      <c r="B99" s="19"/>
      <c r="C99" s="19"/>
      <c r="D99" s="19"/>
      <c r="E99" s="20"/>
      <c r="F99" s="20"/>
      <c r="G99" s="19"/>
      <c r="H99" s="19"/>
      <c r="I99" s="10" t="str" cm="1">
        <f t="array" aca="1" ref="I99" ca="1">IF(isEmptyRow,"",F_code)</f>
        <v/>
      </c>
      <c r="J99" s="10" t="str" cm="1">
        <f t="array" aca="1" ref="J99" ca="1">IF(isEmptyRow,"",INDIRECT("C"&amp;ROW())*INDIRECT("D"&amp;ROW()))</f>
        <v/>
      </c>
      <c r="K99" s="10" t="str" cm="1">
        <f t="array" aca="1" ref="K99" ca="1">IF(isEmptyRow,"",J99*2)</f>
        <v/>
      </c>
      <c r="L99" s="10" t="str" cm="1">
        <f t="array" aca="1" ref="L99" ca="1">IF(isEmptyRow,"",F_offset)</f>
        <v/>
      </c>
      <c r="M99" s="11" t="str" cm="1">
        <f t="array" aca="1" ref="M99" ca="1">IF(isEmptyRow,"",F_address)</f>
        <v/>
      </c>
      <c r="N99" s="15" cm="1">
        <f t="array" aca="1" ref="N99" ca="1">F_残</f>
        <v>36</v>
      </c>
      <c r="P99" t="str" cm="1">
        <f t="array" aca="1" ref="P99" ca="1">IF(isDataRow,テーブル定義コード_データ行,IF(isTermRow,テーブル定義コード_番兵行,IF(isCloseRow,テーブル定義コード_最終行,"")))</f>
        <v/>
      </c>
    </row>
    <row r="100" spans="1:16">
      <c r="A100" s="19"/>
      <c r="B100" s="19"/>
      <c r="C100" s="19"/>
      <c r="D100" s="19"/>
      <c r="E100" s="20"/>
      <c r="F100" s="20"/>
      <c r="G100" s="19"/>
      <c r="H100" s="19"/>
      <c r="I100" s="10" t="str" cm="1">
        <f t="array" aca="1" ref="I100" ca="1">IF(isEmptyRow,"",F_code)</f>
        <v/>
      </c>
      <c r="J100" s="10" t="str" cm="1">
        <f t="array" aca="1" ref="J100" ca="1">IF(isEmptyRow,"",INDIRECT("C"&amp;ROW())*INDIRECT("D"&amp;ROW()))</f>
        <v/>
      </c>
      <c r="K100" s="10" t="str" cm="1">
        <f t="array" aca="1" ref="K100" ca="1">IF(isEmptyRow,"",J100*2)</f>
        <v/>
      </c>
      <c r="L100" s="10" t="str" cm="1">
        <f t="array" aca="1" ref="L100" ca="1">IF(isEmptyRow,"",F_offset)</f>
        <v/>
      </c>
      <c r="M100" s="11" t="str" cm="1">
        <f t="array" aca="1" ref="M100" ca="1">IF(isEmptyRow,"",F_address)</f>
        <v/>
      </c>
      <c r="N100" s="15" cm="1">
        <f t="array" aca="1" ref="N100" ca="1">F_残</f>
        <v>36</v>
      </c>
      <c r="P100" t="str" cm="1">
        <f t="array" aca="1" ref="P100" ca="1">IF(isDataRow,テーブル定義コード_データ行,IF(isTermRow,テーブル定義コード_番兵行,IF(isCloseRow,テーブル定義コード_最終行,"")))</f>
        <v/>
      </c>
    </row>
    <row r="101" spans="1:16">
      <c r="A101" s="19"/>
      <c r="B101" s="19"/>
      <c r="C101" s="19"/>
      <c r="D101" s="19"/>
      <c r="E101" s="20"/>
      <c r="F101" s="20"/>
      <c r="G101" s="19"/>
      <c r="H101" s="19"/>
      <c r="I101" s="10" t="str" cm="1">
        <f t="array" aca="1" ref="I101" ca="1">IF(isEmptyRow,"",F_code)</f>
        <v/>
      </c>
      <c r="J101" s="10" t="str" cm="1">
        <f t="array" aca="1" ref="J101" ca="1">IF(isEmptyRow,"",INDIRECT("C"&amp;ROW())*INDIRECT("D"&amp;ROW()))</f>
        <v/>
      </c>
      <c r="K101" s="10" t="str" cm="1">
        <f t="array" aca="1" ref="K101" ca="1">IF(isEmptyRow,"",J101*2)</f>
        <v/>
      </c>
      <c r="L101" s="10" t="str" cm="1">
        <f t="array" aca="1" ref="L101" ca="1">IF(isEmptyRow,"",F_offset)</f>
        <v/>
      </c>
      <c r="M101" s="11" t="str" cm="1">
        <f t="array" aca="1" ref="M101" ca="1">IF(isEmptyRow,"",F_address)</f>
        <v/>
      </c>
      <c r="N101" s="15" cm="1">
        <f t="array" aca="1" ref="N101" ca="1">F_残</f>
        <v>36</v>
      </c>
      <c r="P101" t="str" cm="1">
        <f t="array" aca="1" ref="P101" ca="1">IF(isDataRow,テーブル定義コード_データ行,IF(isTermRow,テーブル定義コード_番兵行,IF(isCloseRow,テーブル定義コード_最終行,"")))</f>
        <v/>
      </c>
    </row>
    <row r="102" spans="1:16">
      <c r="A102" s="19"/>
      <c r="B102" s="19"/>
      <c r="C102" s="19"/>
      <c r="D102" s="19"/>
      <c r="E102" s="20"/>
      <c r="F102" s="20"/>
      <c r="G102" s="19"/>
      <c r="H102" s="19"/>
      <c r="I102" s="10" t="str" cm="1">
        <f t="array" aca="1" ref="I102" ca="1">IF(isEmptyRow,"",F_code)</f>
        <v/>
      </c>
      <c r="J102" s="10" t="str" cm="1">
        <f t="array" aca="1" ref="J102" ca="1">IF(isEmptyRow,"",INDIRECT("C"&amp;ROW())*INDIRECT("D"&amp;ROW()))</f>
        <v/>
      </c>
      <c r="K102" s="10" t="str" cm="1">
        <f t="array" aca="1" ref="K102" ca="1">IF(isEmptyRow,"",J102*2)</f>
        <v/>
      </c>
      <c r="L102" s="10" t="str" cm="1">
        <f t="array" aca="1" ref="L102" ca="1">IF(isEmptyRow,"",F_offset)</f>
        <v/>
      </c>
      <c r="M102" s="11" t="str" cm="1">
        <f t="array" aca="1" ref="M102" ca="1">IF(isEmptyRow,"",F_address)</f>
        <v/>
      </c>
      <c r="N102" s="15" cm="1">
        <f t="array" aca="1" ref="N102" ca="1">F_残</f>
        <v>36</v>
      </c>
      <c r="P102" t="str" cm="1">
        <f t="array" aca="1" ref="P102" ca="1">IF(isDataRow,テーブル定義コード_データ行,IF(isTermRow,テーブル定義コード_番兵行,IF(isCloseRow,テーブル定義コード_最終行,"")))</f>
        <v/>
      </c>
    </row>
    <row r="103" spans="1:16">
      <c r="A103" s="19"/>
      <c r="B103" s="19"/>
      <c r="C103" s="19"/>
      <c r="D103" s="19"/>
      <c r="E103" s="20"/>
      <c r="F103" s="20"/>
      <c r="G103" s="19"/>
      <c r="H103" s="19"/>
      <c r="I103" s="10" t="str" cm="1">
        <f t="array" aca="1" ref="I103" ca="1">IF(isEmptyRow,"",F_code)</f>
        <v/>
      </c>
      <c r="J103" s="10" t="str" cm="1">
        <f t="array" aca="1" ref="J103" ca="1">IF(isEmptyRow,"",INDIRECT("C"&amp;ROW())*INDIRECT("D"&amp;ROW()))</f>
        <v/>
      </c>
      <c r="K103" s="10" t="str" cm="1">
        <f t="array" aca="1" ref="K103" ca="1">IF(isEmptyRow,"",J103*2)</f>
        <v/>
      </c>
      <c r="L103" s="10" t="str" cm="1">
        <f t="array" aca="1" ref="L103" ca="1">IF(isEmptyRow,"",F_offset)</f>
        <v/>
      </c>
      <c r="M103" s="11" t="str" cm="1">
        <f t="array" aca="1" ref="M103" ca="1">IF(isEmptyRow,"",F_address)</f>
        <v/>
      </c>
      <c r="N103" s="15" cm="1">
        <f t="array" aca="1" ref="N103" ca="1">F_残</f>
        <v>36</v>
      </c>
      <c r="P103" t="str" cm="1">
        <f t="array" aca="1" ref="P103" ca="1">IF(isDataRow,テーブル定義コード_データ行,IF(isTermRow,テーブル定義コード_番兵行,IF(isCloseRow,テーブル定義コード_最終行,"")))</f>
        <v/>
      </c>
    </row>
    <row r="104" spans="1:16">
      <c r="A104" s="19"/>
      <c r="B104" s="19"/>
      <c r="C104" s="19"/>
      <c r="D104" s="19"/>
      <c r="E104" s="20"/>
      <c r="F104" s="20"/>
      <c r="G104" s="19"/>
      <c r="H104" s="19"/>
      <c r="I104" s="10" t="str" cm="1">
        <f t="array" aca="1" ref="I104" ca="1">IF(isEmptyRow,"",F_code)</f>
        <v/>
      </c>
      <c r="J104" s="10" t="str" cm="1">
        <f t="array" aca="1" ref="J104" ca="1">IF(isEmptyRow,"",INDIRECT("C"&amp;ROW())*INDIRECT("D"&amp;ROW()))</f>
        <v/>
      </c>
      <c r="K104" s="10" t="str" cm="1">
        <f t="array" aca="1" ref="K104" ca="1">IF(isEmptyRow,"",J104*2)</f>
        <v/>
      </c>
      <c r="L104" s="10" t="str" cm="1">
        <f t="array" aca="1" ref="L104" ca="1">IF(isEmptyRow,"",F_offset)</f>
        <v/>
      </c>
      <c r="M104" s="11" t="str" cm="1">
        <f t="array" aca="1" ref="M104" ca="1">IF(isEmptyRow,"",F_address)</f>
        <v/>
      </c>
      <c r="N104" s="15" cm="1">
        <f t="array" aca="1" ref="N104" ca="1">F_残</f>
        <v>36</v>
      </c>
      <c r="P104" t="str" cm="1">
        <f t="array" aca="1" ref="P104" ca="1">IF(isDataRow,テーブル定義コード_データ行,IF(isTermRow,テーブル定義コード_番兵行,IF(isCloseRow,テーブル定義コード_最終行,"")))</f>
        <v/>
      </c>
    </row>
    <row r="105" spans="1:16">
      <c r="A105" s="19"/>
      <c r="B105" s="19"/>
      <c r="C105" s="19"/>
      <c r="D105" s="19"/>
      <c r="E105" s="20"/>
      <c r="F105" s="20"/>
      <c r="G105" s="19"/>
      <c r="H105" s="19"/>
      <c r="I105" s="10" t="str" cm="1">
        <f t="array" aca="1" ref="I105" ca="1">IF(isEmptyRow,"",F_code)</f>
        <v/>
      </c>
      <c r="J105" s="10" t="str" cm="1">
        <f t="array" aca="1" ref="J105" ca="1">IF(isEmptyRow,"",INDIRECT("C"&amp;ROW())*INDIRECT("D"&amp;ROW()))</f>
        <v/>
      </c>
      <c r="K105" s="10" t="str" cm="1">
        <f t="array" aca="1" ref="K105" ca="1">IF(isEmptyRow,"",J105*2)</f>
        <v/>
      </c>
      <c r="L105" s="10" t="str" cm="1">
        <f t="array" aca="1" ref="L105" ca="1">IF(isEmptyRow,"",F_offset)</f>
        <v/>
      </c>
      <c r="M105" s="11" t="str" cm="1">
        <f t="array" aca="1" ref="M105" ca="1">IF(isEmptyRow,"",F_address)</f>
        <v/>
      </c>
      <c r="N105" s="15" cm="1">
        <f t="array" aca="1" ref="N105" ca="1">F_残</f>
        <v>36</v>
      </c>
      <c r="P105" t="str" cm="1">
        <f t="array" aca="1" ref="P105" ca="1">IF(isDataRow,テーブル定義コード_データ行,IF(isTermRow,テーブル定義コード_番兵行,IF(isCloseRow,テーブル定義コード_最終行,"")))</f>
        <v/>
      </c>
    </row>
    <row r="106" spans="1:16">
      <c r="A106" s="19"/>
      <c r="B106" s="19"/>
      <c r="C106" s="19"/>
      <c r="D106" s="19"/>
      <c r="E106" s="20"/>
      <c r="F106" s="20"/>
      <c r="G106" s="19"/>
      <c r="H106" s="19"/>
      <c r="I106" s="10" t="str" cm="1">
        <f t="array" aca="1" ref="I106" ca="1">IF(isEmptyRow,"",F_code)</f>
        <v/>
      </c>
      <c r="J106" s="10" t="str" cm="1">
        <f t="array" aca="1" ref="J106" ca="1">IF(isEmptyRow,"",INDIRECT("C"&amp;ROW())*INDIRECT("D"&amp;ROW()))</f>
        <v/>
      </c>
      <c r="K106" s="10" t="str" cm="1">
        <f t="array" aca="1" ref="K106" ca="1">IF(isEmptyRow,"",J106*2)</f>
        <v/>
      </c>
      <c r="L106" s="10" t="str" cm="1">
        <f t="array" aca="1" ref="L106" ca="1">IF(isEmptyRow,"",F_offset)</f>
        <v/>
      </c>
      <c r="M106" s="11" t="str" cm="1">
        <f t="array" aca="1" ref="M106" ca="1">IF(isEmptyRow,"",F_address)</f>
        <v/>
      </c>
      <c r="N106" s="15" cm="1">
        <f t="array" aca="1" ref="N106" ca="1">F_残</f>
        <v>36</v>
      </c>
      <c r="P106" t="str" cm="1">
        <f t="array" aca="1" ref="P106" ca="1">IF(isDataRow,テーブル定義コード_データ行,IF(isTermRow,テーブル定義コード_番兵行,IF(isCloseRow,テーブル定義コード_最終行,"")))</f>
        <v/>
      </c>
    </row>
    <row r="107" spans="1:16">
      <c r="A107" s="19"/>
      <c r="B107" s="19"/>
      <c r="C107" s="19"/>
      <c r="D107" s="19"/>
      <c r="E107" s="20"/>
      <c r="F107" s="20"/>
      <c r="G107" s="19"/>
      <c r="H107" s="19"/>
      <c r="I107" s="10" t="str" cm="1">
        <f t="array" aca="1" ref="I107" ca="1">IF(isEmptyRow,"",F_code)</f>
        <v/>
      </c>
      <c r="J107" s="10" t="str" cm="1">
        <f t="array" aca="1" ref="J107" ca="1">IF(isEmptyRow,"",INDIRECT("C"&amp;ROW())*INDIRECT("D"&amp;ROW()))</f>
        <v/>
      </c>
      <c r="K107" s="10" t="str" cm="1">
        <f t="array" aca="1" ref="K107" ca="1">IF(isEmptyRow,"",J107*2)</f>
        <v/>
      </c>
      <c r="L107" s="10" t="str" cm="1">
        <f t="array" aca="1" ref="L107" ca="1">IF(isEmptyRow,"",F_offset)</f>
        <v/>
      </c>
      <c r="M107" s="11" t="str" cm="1">
        <f t="array" aca="1" ref="M107" ca="1">IF(isEmptyRow,"",F_address)</f>
        <v/>
      </c>
      <c r="N107" s="15" cm="1">
        <f t="array" aca="1" ref="N107" ca="1">F_残</f>
        <v>36</v>
      </c>
      <c r="P107" t="str" cm="1">
        <f t="array" aca="1" ref="P107" ca="1">IF(isDataRow,テーブル定義コード_データ行,IF(isTermRow,テーブル定義コード_番兵行,IF(isCloseRow,テーブル定義コード_最終行,"")))</f>
        <v/>
      </c>
    </row>
    <row r="108" spans="1:16">
      <c r="A108" s="19"/>
      <c r="B108" s="19"/>
      <c r="C108" s="19"/>
      <c r="D108" s="19"/>
      <c r="E108" s="20"/>
      <c r="F108" s="20"/>
      <c r="G108" s="19"/>
      <c r="H108" s="19"/>
      <c r="I108" s="10" t="str" cm="1">
        <f t="array" aca="1" ref="I108" ca="1">IF(isEmptyRow,"",F_code)</f>
        <v/>
      </c>
      <c r="J108" s="10" t="str" cm="1">
        <f t="array" aca="1" ref="J108" ca="1">IF(isEmptyRow,"",INDIRECT("C"&amp;ROW())*INDIRECT("D"&amp;ROW()))</f>
        <v/>
      </c>
      <c r="K108" s="10" t="str" cm="1">
        <f t="array" aca="1" ref="K108" ca="1">IF(isEmptyRow,"",J108*2)</f>
        <v/>
      </c>
      <c r="L108" s="10" t="str" cm="1">
        <f t="array" aca="1" ref="L108" ca="1">IF(isEmptyRow,"",F_offset)</f>
        <v/>
      </c>
      <c r="M108" s="11" t="str" cm="1">
        <f t="array" aca="1" ref="M108" ca="1">IF(isEmptyRow,"",F_address)</f>
        <v/>
      </c>
      <c r="N108" s="15" cm="1">
        <f t="array" aca="1" ref="N108" ca="1">F_残</f>
        <v>36</v>
      </c>
      <c r="P108" t="str" cm="1">
        <f t="array" aca="1" ref="P108" ca="1">IF(isDataRow,テーブル定義コード_データ行,IF(isTermRow,テーブル定義コード_番兵行,IF(isCloseRow,テーブル定義コード_最終行,"")))</f>
        <v/>
      </c>
    </row>
    <row r="109" spans="1:16">
      <c r="A109" s="19"/>
      <c r="B109" s="19"/>
      <c r="C109" s="19"/>
      <c r="D109" s="19"/>
      <c r="E109" s="20"/>
      <c r="F109" s="20"/>
      <c r="G109" s="19"/>
      <c r="H109" s="19"/>
      <c r="I109" s="10" t="str" cm="1">
        <f t="array" aca="1" ref="I109" ca="1">IF(isEmptyRow,"",F_code)</f>
        <v/>
      </c>
      <c r="J109" s="10" t="str" cm="1">
        <f t="array" aca="1" ref="J109" ca="1">IF(isEmptyRow,"",INDIRECT("C"&amp;ROW())*INDIRECT("D"&amp;ROW()))</f>
        <v/>
      </c>
      <c r="K109" s="10" t="str" cm="1">
        <f t="array" aca="1" ref="K109" ca="1">IF(isEmptyRow,"",J109*2)</f>
        <v/>
      </c>
      <c r="L109" s="10" t="str" cm="1">
        <f t="array" aca="1" ref="L109" ca="1">IF(isEmptyRow,"",F_offset)</f>
        <v/>
      </c>
      <c r="M109" s="11" t="str" cm="1">
        <f t="array" aca="1" ref="M109" ca="1">IF(isEmptyRow,"",F_address)</f>
        <v/>
      </c>
      <c r="N109" s="15" cm="1">
        <f t="array" aca="1" ref="N109" ca="1">F_残</f>
        <v>36</v>
      </c>
      <c r="P109" t="str" cm="1">
        <f t="array" aca="1" ref="P109" ca="1">IF(isDataRow,テーブル定義コード_データ行,IF(isTermRow,テーブル定義コード_番兵行,IF(isCloseRow,テーブル定義コード_最終行,"")))</f>
        <v/>
      </c>
    </row>
    <row r="110" spans="1:16">
      <c r="A110" s="19"/>
      <c r="B110" s="19"/>
      <c r="C110" s="19"/>
      <c r="D110" s="19"/>
      <c r="E110" s="20"/>
      <c r="F110" s="20"/>
      <c r="G110" s="19"/>
      <c r="H110" s="19"/>
      <c r="I110" s="10" t="str" cm="1">
        <f t="array" aca="1" ref="I110" ca="1">IF(isEmptyRow,"",F_code)</f>
        <v/>
      </c>
      <c r="J110" s="10" t="str" cm="1">
        <f t="array" aca="1" ref="J110" ca="1">IF(isEmptyRow,"",INDIRECT("C"&amp;ROW())*INDIRECT("D"&amp;ROW()))</f>
        <v/>
      </c>
      <c r="K110" s="10" t="str" cm="1">
        <f t="array" aca="1" ref="K110" ca="1">IF(isEmptyRow,"",J110*2)</f>
        <v/>
      </c>
      <c r="L110" s="10" t="str" cm="1">
        <f t="array" aca="1" ref="L110" ca="1">IF(isEmptyRow,"",F_offset)</f>
        <v/>
      </c>
      <c r="M110" s="11" t="str" cm="1">
        <f t="array" aca="1" ref="M110" ca="1">IF(isEmptyRow,"",F_address)</f>
        <v/>
      </c>
      <c r="N110" s="15" cm="1">
        <f t="array" aca="1" ref="N110" ca="1">F_残</f>
        <v>36</v>
      </c>
      <c r="P110" t="str" cm="1">
        <f t="array" aca="1" ref="P110" ca="1">IF(isDataRow,テーブル定義コード_データ行,IF(isTermRow,テーブル定義コード_番兵行,IF(isCloseRow,テーブル定義コード_最終行,"")))</f>
        <v/>
      </c>
    </row>
    <row r="111" spans="1:16">
      <c r="A111" s="19"/>
      <c r="B111" s="19"/>
      <c r="C111" s="19"/>
      <c r="D111" s="19"/>
      <c r="E111" s="20"/>
      <c r="F111" s="20"/>
      <c r="G111" s="19"/>
      <c r="H111" s="19"/>
      <c r="I111" s="10" t="str" cm="1">
        <f t="array" aca="1" ref="I111" ca="1">IF(isEmptyRow,"",F_code)</f>
        <v/>
      </c>
      <c r="J111" s="10" t="str" cm="1">
        <f t="array" aca="1" ref="J111" ca="1">IF(isEmptyRow,"",INDIRECT("C"&amp;ROW())*INDIRECT("D"&amp;ROW()))</f>
        <v/>
      </c>
      <c r="K111" s="10" t="str" cm="1">
        <f t="array" aca="1" ref="K111" ca="1">IF(isEmptyRow,"",J111*2)</f>
        <v/>
      </c>
      <c r="L111" s="10" t="str" cm="1">
        <f t="array" aca="1" ref="L111" ca="1">IF(isEmptyRow,"",F_offset)</f>
        <v/>
      </c>
      <c r="M111" s="11" t="str" cm="1">
        <f t="array" aca="1" ref="M111" ca="1">IF(isEmptyRow,"",F_address)</f>
        <v/>
      </c>
      <c r="N111" s="15" cm="1">
        <f t="array" aca="1" ref="N111" ca="1">F_残</f>
        <v>36</v>
      </c>
      <c r="P111" t="str" cm="1">
        <f t="array" aca="1" ref="P111" ca="1">IF(isDataRow,テーブル定義コード_データ行,IF(isTermRow,テーブル定義コード_番兵行,IF(isCloseRow,テーブル定義コード_最終行,"")))</f>
        <v/>
      </c>
    </row>
    <row r="112" spans="1:16">
      <c r="A112" s="19"/>
      <c r="B112" s="19"/>
      <c r="C112" s="19"/>
      <c r="D112" s="19"/>
      <c r="E112" s="20"/>
      <c r="F112" s="20"/>
      <c r="G112" s="19"/>
      <c r="H112" s="19"/>
      <c r="I112" s="10" t="str" cm="1">
        <f t="array" aca="1" ref="I112" ca="1">IF(isEmptyRow,"",F_code)</f>
        <v/>
      </c>
      <c r="J112" s="10" t="str" cm="1">
        <f t="array" aca="1" ref="J112" ca="1">IF(isEmptyRow,"",INDIRECT("C"&amp;ROW())*INDIRECT("D"&amp;ROW()))</f>
        <v/>
      </c>
      <c r="K112" s="10" t="str" cm="1">
        <f t="array" aca="1" ref="K112" ca="1">IF(isEmptyRow,"",J112*2)</f>
        <v/>
      </c>
      <c r="L112" s="10" t="str" cm="1">
        <f t="array" aca="1" ref="L112" ca="1">IF(isEmptyRow,"",F_offset)</f>
        <v/>
      </c>
      <c r="M112" s="11" t="str" cm="1">
        <f t="array" aca="1" ref="M112" ca="1">IF(isEmptyRow,"",F_address)</f>
        <v/>
      </c>
      <c r="N112" s="15" cm="1">
        <f t="array" aca="1" ref="N112" ca="1">F_残</f>
        <v>36</v>
      </c>
      <c r="P112" t="str" cm="1">
        <f t="array" aca="1" ref="P112" ca="1">IF(isDataRow,テーブル定義コード_データ行,IF(isTermRow,テーブル定義コード_番兵行,IF(isCloseRow,テーブル定義コード_最終行,"")))</f>
        <v/>
      </c>
    </row>
    <row r="113" spans="1:16">
      <c r="A113" s="19"/>
      <c r="B113" s="19"/>
      <c r="C113" s="19"/>
      <c r="D113" s="19"/>
      <c r="E113" s="20"/>
      <c r="F113" s="20"/>
      <c r="G113" s="19"/>
      <c r="H113" s="19"/>
      <c r="I113" s="10" t="str" cm="1">
        <f t="array" aca="1" ref="I113" ca="1">IF(isEmptyRow,"",F_code)</f>
        <v/>
      </c>
      <c r="J113" s="10" t="str" cm="1">
        <f t="array" aca="1" ref="J113" ca="1">IF(isEmptyRow,"",INDIRECT("C"&amp;ROW())*INDIRECT("D"&amp;ROW()))</f>
        <v/>
      </c>
      <c r="K113" s="10" t="str" cm="1">
        <f t="array" aca="1" ref="K113" ca="1">IF(isEmptyRow,"",J113*2)</f>
        <v/>
      </c>
      <c r="L113" s="10" t="str" cm="1">
        <f t="array" aca="1" ref="L113" ca="1">IF(isEmptyRow,"",F_offset)</f>
        <v/>
      </c>
      <c r="M113" s="11" t="str" cm="1">
        <f t="array" aca="1" ref="M113" ca="1">IF(isEmptyRow,"",F_address)</f>
        <v/>
      </c>
      <c r="N113" s="15" cm="1">
        <f t="array" aca="1" ref="N113" ca="1">F_残</f>
        <v>36</v>
      </c>
      <c r="P113" t="str" cm="1">
        <f t="array" aca="1" ref="P113" ca="1">IF(isDataRow,テーブル定義コード_データ行,IF(isTermRow,テーブル定義コード_番兵行,IF(isCloseRow,テーブル定義コード_最終行,"")))</f>
        <v/>
      </c>
    </row>
    <row r="114" spans="1:16">
      <c r="A114" s="19"/>
      <c r="B114" s="19"/>
      <c r="C114" s="19"/>
      <c r="D114" s="19"/>
      <c r="E114" s="20"/>
      <c r="F114" s="20"/>
      <c r="G114" s="19"/>
      <c r="H114" s="19"/>
      <c r="I114" s="10" t="str" cm="1">
        <f t="array" aca="1" ref="I114" ca="1">IF(isEmptyRow,"",F_code)</f>
        <v/>
      </c>
      <c r="J114" s="10" t="str" cm="1">
        <f t="array" aca="1" ref="J114" ca="1">IF(isEmptyRow,"",INDIRECT("C"&amp;ROW())*INDIRECT("D"&amp;ROW()))</f>
        <v/>
      </c>
      <c r="K114" s="10" t="str" cm="1">
        <f t="array" aca="1" ref="K114" ca="1">IF(isEmptyRow,"",J114*2)</f>
        <v/>
      </c>
      <c r="L114" s="10" t="str" cm="1">
        <f t="array" aca="1" ref="L114" ca="1">IF(isEmptyRow,"",F_offset)</f>
        <v/>
      </c>
      <c r="M114" s="11" t="str" cm="1">
        <f t="array" aca="1" ref="M114" ca="1">IF(isEmptyRow,"",F_address)</f>
        <v/>
      </c>
      <c r="N114" s="15" cm="1">
        <f t="array" aca="1" ref="N114" ca="1">F_残</f>
        <v>36</v>
      </c>
      <c r="P114" t="str" cm="1">
        <f t="array" aca="1" ref="P114" ca="1">IF(isDataRow,テーブル定義コード_データ行,IF(isTermRow,テーブル定義コード_番兵行,IF(isCloseRow,テーブル定義コード_最終行,"")))</f>
        <v/>
      </c>
    </row>
    <row r="115" spans="1:16">
      <c r="A115" s="19"/>
      <c r="B115" s="19"/>
      <c r="C115" s="19"/>
      <c r="D115" s="19"/>
      <c r="E115" s="20"/>
      <c r="F115" s="20"/>
      <c r="G115" s="19"/>
      <c r="H115" s="19"/>
      <c r="I115" s="10" t="str" cm="1">
        <f t="array" aca="1" ref="I115" ca="1">IF(isEmptyRow,"",F_code)</f>
        <v/>
      </c>
      <c r="J115" s="10" t="str" cm="1">
        <f t="array" aca="1" ref="J115" ca="1">IF(isEmptyRow,"",INDIRECT("C"&amp;ROW())*INDIRECT("D"&amp;ROW()))</f>
        <v/>
      </c>
      <c r="K115" s="10" t="str" cm="1">
        <f t="array" aca="1" ref="K115" ca="1">IF(isEmptyRow,"",J115*2)</f>
        <v/>
      </c>
      <c r="L115" s="10" t="str" cm="1">
        <f t="array" aca="1" ref="L115" ca="1">IF(isEmptyRow,"",F_offset)</f>
        <v/>
      </c>
      <c r="M115" s="11" t="str" cm="1">
        <f t="array" aca="1" ref="M115" ca="1">IF(isEmptyRow,"",F_address)</f>
        <v/>
      </c>
      <c r="N115" s="15" cm="1">
        <f t="array" aca="1" ref="N115" ca="1">F_残</f>
        <v>36</v>
      </c>
      <c r="P115" t="str" cm="1">
        <f t="array" aca="1" ref="P115" ca="1">IF(isDataRow,テーブル定義コード_データ行,IF(isTermRow,テーブル定義コード_番兵行,IF(isCloseRow,テーブル定義コード_最終行,"")))</f>
        <v/>
      </c>
    </row>
    <row r="116" spans="1:16">
      <c r="A116" s="19"/>
      <c r="B116" s="19"/>
      <c r="C116" s="19"/>
      <c r="D116" s="19"/>
      <c r="E116" s="20"/>
      <c r="F116" s="20"/>
      <c r="G116" s="19"/>
      <c r="H116" s="19"/>
      <c r="I116" s="10" t="str" cm="1">
        <f t="array" aca="1" ref="I116" ca="1">IF(isEmptyRow,"",F_code)</f>
        <v/>
      </c>
      <c r="J116" s="10" t="str" cm="1">
        <f t="array" aca="1" ref="J116" ca="1">IF(isEmptyRow,"",INDIRECT("C"&amp;ROW())*INDIRECT("D"&amp;ROW()))</f>
        <v/>
      </c>
      <c r="K116" s="10" t="str" cm="1">
        <f t="array" aca="1" ref="K116" ca="1">IF(isEmptyRow,"",J116*2)</f>
        <v/>
      </c>
      <c r="L116" s="10" t="str" cm="1">
        <f t="array" aca="1" ref="L116" ca="1">IF(isEmptyRow,"",F_offset)</f>
        <v/>
      </c>
      <c r="M116" s="11" t="str" cm="1">
        <f t="array" aca="1" ref="M116" ca="1">IF(isEmptyRow,"",F_address)</f>
        <v/>
      </c>
      <c r="N116" s="15" cm="1">
        <f t="array" aca="1" ref="N116" ca="1">F_残</f>
        <v>36</v>
      </c>
      <c r="P116" t="str" cm="1">
        <f t="array" aca="1" ref="P116" ca="1">IF(isDataRow,テーブル定義コード_データ行,IF(isTermRow,テーブル定義コード_番兵行,IF(isCloseRow,テーブル定義コード_最終行,"")))</f>
        <v/>
      </c>
    </row>
    <row r="117" spans="1:16">
      <c r="A117" s="19"/>
      <c r="B117" s="19"/>
      <c r="C117" s="19"/>
      <c r="D117" s="19"/>
      <c r="E117" s="20"/>
      <c r="F117" s="20"/>
      <c r="G117" s="19"/>
      <c r="H117" s="19"/>
      <c r="I117" s="10" t="str" cm="1">
        <f t="array" aca="1" ref="I117" ca="1">IF(isEmptyRow,"",F_code)</f>
        <v/>
      </c>
      <c r="J117" s="10" t="str" cm="1">
        <f t="array" aca="1" ref="J117" ca="1">IF(isEmptyRow,"",INDIRECT("C"&amp;ROW())*INDIRECT("D"&amp;ROW()))</f>
        <v/>
      </c>
      <c r="K117" s="10" t="str" cm="1">
        <f t="array" aca="1" ref="K117" ca="1">IF(isEmptyRow,"",J117*2)</f>
        <v/>
      </c>
      <c r="L117" s="10" t="str" cm="1">
        <f t="array" aca="1" ref="L117" ca="1">IF(isEmptyRow,"",F_offset)</f>
        <v/>
      </c>
      <c r="M117" s="11" t="str" cm="1">
        <f t="array" aca="1" ref="M117" ca="1">IF(isEmptyRow,"",F_address)</f>
        <v/>
      </c>
      <c r="N117" s="15" cm="1">
        <f t="array" aca="1" ref="N117" ca="1">F_残</f>
        <v>36</v>
      </c>
      <c r="P117" t="str" cm="1">
        <f t="array" aca="1" ref="P117" ca="1">IF(isDataRow,テーブル定義コード_データ行,IF(isTermRow,テーブル定義コード_番兵行,IF(isCloseRow,テーブル定義コード_最終行,"")))</f>
        <v/>
      </c>
    </row>
    <row r="118" spans="1:16">
      <c r="A118" s="19"/>
      <c r="B118" s="19"/>
      <c r="C118" s="19"/>
      <c r="D118" s="19"/>
      <c r="E118" s="20"/>
      <c r="F118" s="20"/>
      <c r="G118" s="19"/>
      <c r="H118" s="19"/>
      <c r="I118" s="10" t="str" cm="1">
        <f t="array" aca="1" ref="I118" ca="1">IF(isEmptyRow,"",F_code)</f>
        <v/>
      </c>
      <c r="J118" s="10" t="str" cm="1">
        <f t="array" aca="1" ref="J118" ca="1">IF(isEmptyRow,"",INDIRECT("C"&amp;ROW())*INDIRECT("D"&amp;ROW()))</f>
        <v/>
      </c>
      <c r="K118" s="10" t="str" cm="1">
        <f t="array" aca="1" ref="K118" ca="1">IF(isEmptyRow,"",J118*2)</f>
        <v/>
      </c>
      <c r="L118" s="10" t="str" cm="1">
        <f t="array" aca="1" ref="L118" ca="1">IF(isEmptyRow,"",F_offset)</f>
        <v/>
      </c>
      <c r="M118" s="11" t="str" cm="1">
        <f t="array" aca="1" ref="M118" ca="1">IF(isEmptyRow,"",F_address)</f>
        <v/>
      </c>
      <c r="N118" s="15" cm="1">
        <f t="array" aca="1" ref="N118" ca="1">F_残</f>
        <v>36</v>
      </c>
      <c r="P118" t="str" cm="1">
        <f t="array" aca="1" ref="P118" ca="1">IF(isDataRow,テーブル定義コード_データ行,IF(isTermRow,テーブル定義コード_番兵行,IF(isCloseRow,テーブル定義コード_最終行,"")))</f>
        <v/>
      </c>
    </row>
    <row r="119" spans="1:16">
      <c r="A119" s="19"/>
      <c r="B119" s="19"/>
      <c r="C119" s="19"/>
      <c r="D119" s="19"/>
      <c r="E119" s="20"/>
      <c r="F119" s="20"/>
      <c r="G119" s="19"/>
      <c r="H119" s="19"/>
      <c r="I119" s="10" t="str" cm="1">
        <f t="array" aca="1" ref="I119" ca="1">IF(isEmptyRow,"",F_code)</f>
        <v/>
      </c>
      <c r="J119" s="10" t="str" cm="1">
        <f t="array" aca="1" ref="J119" ca="1">IF(isEmptyRow,"",INDIRECT("C"&amp;ROW())*INDIRECT("D"&amp;ROW()))</f>
        <v/>
      </c>
      <c r="K119" s="10" t="str" cm="1">
        <f t="array" aca="1" ref="K119" ca="1">IF(isEmptyRow,"",J119*2)</f>
        <v/>
      </c>
      <c r="L119" s="10" t="str" cm="1">
        <f t="array" aca="1" ref="L119" ca="1">IF(isEmptyRow,"",F_offset)</f>
        <v/>
      </c>
      <c r="M119" s="11" t="str" cm="1">
        <f t="array" aca="1" ref="M119" ca="1">IF(isEmptyRow,"",F_address)</f>
        <v/>
      </c>
      <c r="N119" s="15" cm="1">
        <f t="array" aca="1" ref="N119" ca="1">F_残</f>
        <v>36</v>
      </c>
      <c r="P119" t="str" cm="1">
        <f t="array" aca="1" ref="P119" ca="1">IF(isDataRow,テーブル定義コード_データ行,IF(isTermRow,テーブル定義コード_番兵行,IF(isCloseRow,テーブル定義コード_最終行,"")))</f>
        <v/>
      </c>
    </row>
    <row r="120" spans="1:16">
      <c r="A120" s="19"/>
      <c r="B120" s="19"/>
      <c r="C120" s="19"/>
      <c r="D120" s="19"/>
      <c r="E120" s="20"/>
      <c r="F120" s="20"/>
      <c r="G120" s="19"/>
      <c r="H120" s="19"/>
      <c r="I120" s="10" t="str" cm="1">
        <f t="array" aca="1" ref="I120" ca="1">IF(isEmptyRow,"",F_code)</f>
        <v/>
      </c>
      <c r="J120" s="10" t="str" cm="1">
        <f t="array" aca="1" ref="J120" ca="1">IF(isEmptyRow,"",INDIRECT("C"&amp;ROW())*INDIRECT("D"&amp;ROW()))</f>
        <v/>
      </c>
      <c r="K120" s="10" t="str" cm="1">
        <f t="array" aca="1" ref="K120" ca="1">IF(isEmptyRow,"",J120*2)</f>
        <v/>
      </c>
      <c r="L120" s="10" t="str" cm="1">
        <f t="array" aca="1" ref="L120" ca="1">IF(isEmptyRow,"",F_offset)</f>
        <v/>
      </c>
      <c r="M120" s="11" t="str" cm="1">
        <f t="array" aca="1" ref="M120" ca="1">IF(isEmptyRow,"",F_address)</f>
        <v/>
      </c>
      <c r="N120" s="15" cm="1">
        <f t="array" aca="1" ref="N120" ca="1">F_残</f>
        <v>36</v>
      </c>
      <c r="P120" t="str" cm="1">
        <f t="array" aca="1" ref="P120" ca="1">IF(isDataRow,テーブル定義コード_データ行,IF(isTermRow,テーブル定義コード_番兵行,IF(isCloseRow,テーブル定義コード_最終行,"")))</f>
        <v/>
      </c>
    </row>
    <row r="121" spans="1:16">
      <c r="A121" s="19"/>
      <c r="B121" s="19"/>
      <c r="C121" s="19"/>
      <c r="D121" s="19"/>
      <c r="E121" s="20"/>
      <c r="F121" s="20"/>
      <c r="G121" s="19"/>
      <c r="H121" s="19"/>
      <c r="I121" s="10" t="str" cm="1">
        <f t="array" aca="1" ref="I121" ca="1">IF(isEmptyRow,"",F_code)</f>
        <v/>
      </c>
      <c r="J121" s="10" t="str" cm="1">
        <f t="array" aca="1" ref="J121" ca="1">IF(isEmptyRow,"",INDIRECT("C"&amp;ROW())*INDIRECT("D"&amp;ROW()))</f>
        <v/>
      </c>
      <c r="K121" s="10" t="str" cm="1">
        <f t="array" aca="1" ref="K121" ca="1">IF(isEmptyRow,"",J121*2)</f>
        <v/>
      </c>
      <c r="L121" s="10" t="str" cm="1">
        <f t="array" aca="1" ref="L121" ca="1">IF(isEmptyRow,"",F_offset)</f>
        <v/>
      </c>
      <c r="M121" s="11" t="str" cm="1">
        <f t="array" aca="1" ref="M121" ca="1">IF(isEmptyRow,"",F_address)</f>
        <v/>
      </c>
      <c r="N121" s="15" cm="1">
        <f t="array" aca="1" ref="N121" ca="1">F_残</f>
        <v>36</v>
      </c>
      <c r="P121" t="str" cm="1">
        <f t="array" aca="1" ref="P121" ca="1">IF(isDataRow,テーブル定義コード_データ行,IF(isTermRow,テーブル定義コード_番兵行,IF(isCloseRow,テーブル定義コード_最終行,"")))</f>
        <v/>
      </c>
    </row>
    <row r="122" spans="1:16">
      <c r="A122" s="19"/>
      <c r="B122" s="19"/>
      <c r="C122" s="19"/>
      <c r="D122" s="19"/>
      <c r="E122" s="20"/>
      <c r="F122" s="20"/>
      <c r="G122" s="19"/>
      <c r="H122" s="19"/>
      <c r="I122" s="10" t="str" cm="1">
        <f t="array" aca="1" ref="I122" ca="1">IF(isEmptyRow,"",F_code)</f>
        <v/>
      </c>
      <c r="J122" s="10" t="str" cm="1">
        <f t="array" aca="1" ref="J122" ca="1">IF(isEmptyRow,"",INDIRECT("C"&amp;ROW())*INDIRECT("D"&amp;ROW()))</f>
        <v/>
      </c>
      <c r="K122" s="10" t="str" cm="1">
        <f t="array" aca="1" ref="K122" ca="1">IF(isEmptyRow,"",J122*2)</f>
        <v/>
      </c>
      <c r="L122" s="10" t="str" cm="1">
        <f t="array" aca="1" ref="L122" ca="1">IF(isEmptyRow,"",F_offset)</f>
        <v/>
      </c>
      <c r="M122" s="11" t="str" cm="1">
        <f t="array" aca="1" ref="M122" ca="1">IF(isEmptyRow,"",F_address)</f>
        <v/>
      </c>
      <c r="N122" s="15" cm="1">
        <f t="array" aca="1" ref="N122" ca="1">F_残</f>
        <v>36</v>
      </c>
      <c r="P122" t="str" cm="1">
        <f t="array" aca="1" ref="P122" ca="1">IF(isDataRow,テーブル定義コード_データ行,IF(isTermRow,テーブル定義コード_番兵行,IF(isCloseRow,テーブル定義コード_最終行,"")))</f>
        <v/>
      </c>
    </row>
    <row r="123" spans="1:16">
      <c r="A123" s="19"/>
      <c r="B123" s="19"/>
      <c r="C123" s="19"/>
      <c r="D123" s="19"/>
      <c r="E123" s="20"/>
      <c r="F123" s="20"/>
      <c r="G123" s="19"/>
      <c r="H123" s="19"/>
      <c r="I123" s="10" t="str" cm="1">
        <f t="array" aca="1" ref="I123" ca="1">IF(isEmptyRow,"",F_code)</f>
        <v/>
      </c>
      <c r="J123" s="10" t="str" cm="1">
        <f t="array" aca="1" ref="J123" ca="1">IF(isEmptyRow,"",INDIRECT("C"&amp;ROW())*INDIRECT("D"&amp;ROW()))</f>
        <v/>
      </c>
      <c r="K123" s="10" t="str" cm="1">
        <f t="array" aca="1" ref="K123" ca="1">IF(isEmptyRow,"",J123*2)</f>
        <v/>
      </c>
      <c r="L123" s="10" t="str" cm="1">
        <f t="array" aca="1" ref="L123" ca="1">IF(isEmptyRow,"",F_offset)</f>
        <v/>
      </c>
      <c r="M123" s="11" t="str" cm="1">
        <f t="array" aca="1" ref="M123" ca="1">IF(isEmptyRow,"",F_address)</f>
        <v/>
      </c>
      <c r="N123" s="15" cm="1">
        <f t="array" aca="1" ref="N123" ca="1">F_残</f>
        <v>36</v>
      </c>
      <c r="P123" t="str" cm="1">
        <f t="array" aca="1" ref="P123" ca="1">IF(isDataRow,テーブル定義コード_データ行,IF(isTermRow,テーブル定義コード_番兵行,IF(isCloseRow,テーブル定義コード_最終行,"")))</f>
        <v/>
      </c>
    </row>
    <row r="124" spans="1:16">
      <c r="A124" s="19"/>
      <c r="B124" s="19"/>
      <c r="C124" s="19"/>
      <c r="D124" s="19"/>
      <c r="E124" s="20"/>
      <c r="F124" s="20"/>
      <c r="G124" s="19"/>
      <c r="H124" s="19"/>
      <c r="I124" s="10" t="str" cm="1">
        <f t="array" aca="1" ref="I124" ca="1">IF(isEmptyRow,"",F_code)</f>
        <v/>
      </c>
      <c r="J124" s="10" t="str" cm="1">
        <f t="array" aca="1" ref="J124" ca="1">IF(isEmptyRow,"",INDIRECT("C"&amp;ROW())*INDIRECT("D"&amp;ROW()))</f>
        <v/>
      </c>
      <c r="K124" s="10" t="str" cm="1">
        <f t="array" aca="1" ref="K124" ca="1">IF(isEmptyRow,"",J124*2)</f>
        <v/>
      </c>
      <c r="L124" s="10" t="str" cm="1">
        <f t="array" aca="1" ref="L124" ca="1">IF(isEmptyRow,"",F_offset)</f>
        <v/>
      </c>
      <c r="M124" s="11" t="str" cm="1">
        <f t="array" aca="1" ref="M124" ca="1">IF(isEmptyRow,"",F_address)</f>
        <v/>
      </c>
      <c r="N124" s="15" cm="1">
        <f t="array" aca="1" ref="N124" ca="1">F_残</f>
        <v>36</v>
      </c>
      <c r="P124" t="str" cm="1">
        <f t="array" aca="1" ref="P124" ca="1">IF(isDataRow,テーブル定義コード_データ行,IF(isTermRow,テーブル定義コード_番兵行,IF(isCloseRow,テーブル定義コード_最終行,"")))</f>
        <v/>
      </c>
    </row>
    <row r="125" spans="1:16">
      <c r="A125" s="19"/>
      <c r="B125" s="19"/>
      <c r="C125" s="19"/>
      <c r="D125" s="19"/>
      <c r="E125" s="20"/>
      <c r="F125" s="20"/>
      <c r="G125" s="19"/>
      <c r="H125" s="19"/>
      <c r="I125" s="10" t="str" cm="1">
        <f t="array" aca="1" ref="I125" ca="1">IF(isEmptyRow,"",F_code)</f>
        <v/>
      </c>
      <c r="J125" s="10" t="str" cm="1">
        <f t="array" aca="1" ref="J125" ca="1">IF(isEmptyRow,"",INDIRECT("C"&amp;ROW())*INDIRECT("D"&amp;ROW()))</f>
        <v/>
      </c>
      <c r="K125" s="10" t="str" cm="1">
        <f t="array" aca="1" ref="K125" ca="1">IF(isEmptyRow,"",J125*2)</f>
        <v/>
      </c>
      <c r="L125" s="10" t="str" cm="1">
        <f t="array" aca="1" ref="L125" ca="1">IF(isEmptyRow,"",F_offset)</f>
        <v/>
      </c>
      <c r="M125" s="11" t="str" cm="1">
        <f t="array" aca="1" ref="M125" ca="1">IF(isEmptyRow,"",F_address)</f>
        <v/>
      </c>
      <c r="N125" s="15" cm="1">
        <f t="array" aca="1" ref="N125" ca="1">F_残</f>
        <v>36</v>
      </c>
      <c r="P125" t="str" cm="1">
        <f t="array" aca="1" ref="P125" ca="1">IF(isDataRow,テーブル定義コード_データ行,IF(isTermRow,テーブル定義コード_番兵行,IF(isCloseRow,テーブル定義コード_最終行,"")))</f>
        <v/>
      </c>
    </row>
    <row r="126" spans="1:16">
      <c r="A126" s="19"/>
      <c r="B126" s="19"/>
      <c r="C126" s="19"/>
      <c r="D126" s="19"/>
      <c r="E126" s="20"/>
      <c r="F126" s="20"/>
      <c r="G126" s="19"/>
      <c r="H126" s="19"/>
      <c r="I126" s="10" t="str" cm="1">
        <f t="array" aca="1" ref="I126" ca="1">IF(isEmptyRow,"",F_code)</f>
        <v/>
      </c>
      <c r="J126" s="10" t="str" cm="1">
        <f t="array" aca="1" ref="J126" ca="1">IF(isEmptyRow,"",INDIRECT("C"&amp;ROW())*INDIRECT("D"&amp;ROW()))</f>
        <v/>
      </c>
      <c r="K126" s="10" t="str" cm="1">
        <f t="array" aca="1" ref="K126" ca="1">IF(isEmptyRow,"",J126*2)</f>
        <v/>
      </c>
      <c r="L126" s="10" t="str" cm="1">
        <f t="array" aca="1" ref="L126" ca="1">IF(isEmptyRow,"",F_offset)</f>
        <v/>
      </c>
      <c r="M126" s="11" t="str" cm="1">
        <f t="array" aca="1" ref="M126" ca="1">IF(isEmptyRow,"",F_address)</f>
        <v/>
      </c>
      <c r="N126" s="15" cm="1">
        <f t="array" aca="1" ref="N126" ca="1">F_残</f>
        <v>36</v>
      </c>
      <c r="P126" t="str" cm="1">
        <f t="array" aca="1" ref="P126" ca="1">IF(isDataRow,テーブル定義コード_データ行,IF(isTermRow,テーブル定義コード_番兵行,IF(isCloseRow,テーブル定義コード_最終行,"")))</f>
        <v/>
      </c>
    </row>
    <row r="127" spans="1:16">
      <c r="A127" s="21"/>
      <c r="B127" s="21"/>
      <c r="C127" s="21"/>
      <c r="D127" s="21"/>
      <c r="E127" s="22"/>
      <c r="F127" s="22"/>
      <c r="G127" s="21"/>
      <c r="H127" s="21"/>
      <c r="I127" s="12" t="str" cm="1">
        <f t="array" aca="1" ref="I127" ca="1">IF(isEmptyRow,"",F_code)</f>
        <v/>
      </c>
      <c r="J127" s="12" t="str" cm="1">
        <f t="array" aca="1" ref="J127" ca="1">IF(isEmptyRow,"",INDIRECT("C"&amp;ROW())*INDIRECT("D"&amp;ROW()))</f>
        <v/>
      </c>
      <c r="K127" s="12" t="str" cm="1">
        <f t="array" aca="1" ref="K127" ca="1">IF(isEmptyRow,"",J127*2)</f>
        <v/>
      </c>
      <c r="L127" s="12" t="str" cm="1">
        <f t="array" aca="1" ref="L127" ca="1">IF(isEmptyRow,"",F_offset)</f>
        <v/>
      </c>
      <c r="M127" s="13" t="str" cm="1">
        <f t="array" aca="1" ref="M127" ca="1">IF(isEmptyRow,"",F_address)</f>
        <v/>
      </c>
      <c r="N127" s="16" cm="1">
        <f t="array" aca="1" ref="N127" ca="1">F_残</f>
        <v>36</v>
      </c>
      <c r="P127" t="str" cm="1">
        <f t="array" aca="1" ref="P127" ca="1">IF(isDataRow,テーブル定義コード_データ行,IF(isTermRow,テーブル定義コード_番兵行,IF(isCloseRow,テーブル定義コード_最終行,"")))</f>
        <v/>
      </c>
    </row>
  </sheetData>
  <sheetProtection formatCells="0" formatColumns="0" formatRows="0" autoFilter="0"/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BE940F-0786-485D-BE98-06B97D1C017C}">
          <x14:formula1>
            <xm:f>表記フォーマット!$A$2:$A$126</xm:f>
          </x14:formula1>
          <xm:sqref>G2:G127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15D7-92D6-4F75-91AB-CD0BCDEB8C7C}">
  <dimension ref="A1:P127"/>
  <sheetViews>
    <sheetView workbookViewId="0">
      <pane ySplit="1" topLeftCell="A2" activePane="bottomLeft" state="frozen"/>
      <selection activeCell="A2" sqref="A2"/>
      <selection pane="bottomLeft" activeCell="O1" sqref="O1"/>
    </sheetView>
  </sheetViews>
  <sheetFormatPr defaultRowHeight="14.25"/>
  <cols>
    <col min="1" max="1" width="24.7109375" bestFit="1" customWidth="1"/>
    <col min="2" max="2" width="30.42578125" bestFit="1" customWidth="1"/>
    <col min="3" max="3" width="5.42578125" bestFit="1" customWidth="1"/>
    <col min="4" max="4" width="7" bestFit="1" customWidth="1"/>
    <col min="5" max="6" width="7.140625" style="1" customWidth="1"/>
    <col min="7" max="7" width="12" customWidth="1"/>
    <col min="8" max="8" width="42.28515625" customWidth="1"/>
    <col min="9" max="9" width="5.42578125" bestFit="1" customWidth="1"/>
    <col min="10" max="10" width="5.7109375" bestFit="1" customWidth="1"/>
    <col min="11" max="11" width="4.5703125" bestFit="1" customWidth="1"/>
    <col min="12" max="12" width="7.5703125" bestFit="1" customWidth="1"/>
    <col min="13" max="14" width="9.140625" style="1"/>
  </cols>
  <sheetData>
    <row r="1" spans="1:16">
      <c r="A1" s="5" t="s">
        <v>2</v>
      </c>
      <c r="B1" s="6" t="s">
        <v>3</v>
      </c>
      <c r="C1" s="6" t="s">
        <v>0</v>
      </c>
      <c r="D1" s="6" t="s">
        <v>1</v>
      </c>
      <c r="E1" s="7" t="s">
        <v>4</v>
      </c>
      <c r="F1" s="7" t="s">
        <v>5</v>
      </c>
      <c r="G1" s="6" t="s">
        <v>6</v>
      </c>
      <c r="H1" s="6" t="s">
        <v>8</v>
      </c>
      <c r="I1" s="6" t="s">
        <v>7</v>
      </c>
      <c r="J1" s="6" t="s">
        <v>316</v>
      </c>
      <c r="K1" s="6" t="s">
        <v>315</v>
      </c>
      <c r="L1" s="6" t="s">
        <v>314</v>
      </c>
      <c r="M1" s="7" t="s">
        <v>317</v>
      </c>
      <c r="N1" s="7" t="s">
        <v>318</v>
      </c>
      <c r="O1" s="2" t="str" cm="1">
        <f t="array" aca="1" ref="O1" ca="1">テーブル定義コード_全体</f>
        <v xml:space="preserve">_x000D_
// SWRTコマンド2のデータ_x000D_
const struct swrt_address_tag	swrt_2[] = {_x000D_
	{(UC*)&amp;SW101_102_swrt,								1*1},	//   0	200h	スイッチ6,7_x000D_
	{(UC*)&amp;SW103_104_swrt,								1*1},	//   2	202h	スイッチ9,10_x000D_
	{(UC*)&amp;SW105_106_swrt,								1*1},	//   4	204h	スイッチ11,8_x000D_
	{(UC*)&amp;EP_RefLeakFlagsC,							1*1},	//   6	206h	冷媒漏洩TATSTO条件_x000D_
	{(UC*)&amp;SW_CN_swrt,									1*1},	//   8	208h	スイッチ4,5,8,15,ＣＮ30-32_x000D_
	{(UC*)&amp;in_teikitm,									1*1},	//  10	20Ah	メインバス定期通信タイマ_x000D_
	{(UC*)&amp;out_teikitm,									1*1},	//  12	20Ch	サブバス定期通信タイマ_x000D_
	{(UC*)&amp;UhUnitAddress,								2*1},	//  14	20Eh	Uh側アドレス_x000D_
	{(UC*)&amp;SW1_2_swrt,									1*1},	//  18	212h	SW1_2_x000D_
	{(UC*)&amp;SW3_swrt,									1*1},	//  20	214h	SW3_x000D_
	{(UC*)&amp;DummyOut2,									2*1},	//  22	216h	ステップ補正値暖房_x000D_
	{(UC*)&amp;DummyOut2,									2*1},	//  26	21Ah	電流レリース値_x000D_
	{(UC*)&amp;DummyOut2,									2*1},	//  30	21Eh	ｆｍａｘ’（Ｈｚ/圧縮比）_x000D_
	{(UC*)&amp;DummyOut2,									2*1},	//  34	222h	ｆｍａｘ’_x000D_
	{(UC*)&amp;DummyOut2,									2*1},	//  38	226h	ｆｍｉｎ’_x000D_
	{(UC*)&amp;DummyOut2,									2*1},	//  42	22Ah	ｆｍａｘ’（電流レリース）_x000D_
	{(UC*)&amp;DummyOut2,									2*1},	//  46	22Eh	ｆｍａｘ’（ＴＨ過熱）_x000D_
	{(UC*)&amp;DummyOut2,									2*1},	//  50	232h	冷房室内補正後Ｆｃ（Ａ）_x000D_
	{(UC*)&amp;DummyOut2,									2*1},	//  54	236h	暖房室内補正後Ｆｈ（Ａ）_x000D_
	{(UC*)&amp;IduFaCool,									2*1},	//  58	23Ah	Wc(A)'_x000D_
	{(UC*)&amp;IduFaHeat,									2*1},	//  62	23Eh	Wh(A)'_x000D_
	{(UC*)&amp;DummyOut2,									2*1},	//  66	242h	ＦＡ（１）ベース_x000D_
	{(UC*)&amp;OutExistNo[0],								1*1},	//  70	246h	存在室外機アドレス[0]_x000D_
	{(UC*)&amp;OutExistNo[1],								1*1},	//  72	248h	存在室外機アドレス[1]_x000D_
	{(UC*)&amp;OutExistNo[2],								1*1},	//  74	24Ah	存在室外機アドレス[2]_x000D_
	{(UC*)&amp;OutExistNo[3],								1*1},	//  76	24Ch	存在室外機アドレス[3]_x000D_
	{(UC*)&amp;OutExistNo[4],								1*1},	//  78	24Eh	存在室外機アドレス[4]_x000D_
	{(UC*)&amp;Output_LED[0],								1*1},	//  80	250h	７ｓｅｇ表示１_x000D_
	{(UC*)&amp;Output_LED[1],								1*1},	//  82	252h	７ｓｅｇ表示２_x000D_
	{(UC*)&amp;Output_LED[2],								1*1},	//  84	254h	７ｓｅｇ表示３_x000D_
	{(UC*)&amp;Output_LED[3],								1*1},	//  86	256h	７ｓｅｇ表示４_x000D_
	{(UC*)&amp;Output_LED[4],								1*1},	//  88	258h	７ｓｅｇ表示５_x000D_
	{0,0}_x000D_
};_x000D_
</v>
      </c>
      <c r="P1" t="str" cm="1">
        <f t="array" aca="1" ref="P1" ca="1">テーブル定義コード_先頭行</f>
        <v>_x000D_
// SWRTコマンド2のデータ_x000D_
const struct swrt_address_tag	swrt_2[] = {</v>
      </c>
    </row>
    <row r="2" spans="1:16">
      <c r="A2" s="17"/>
      <c r="B2" s="17" t="s">
        <v>339</v>
      </c>
      <c r="C2" s="17">
        <v>1</v>
      </c>
      <c r="D2" s="17">
        <v>1</v>
      </c>
      <c r="E2" s="18"/>
      <c r="F2" s="18"/>
      <c r="G2" s="17"/>
      <c r="H2" s="17" t="s">
        <v>361</v>
      </c>
      <c r="I2" s="8" t="e" cm="1">
        <f t="array" aca="1" ref="I2" ca="1">IF(isEmptyRow,"",F_code)</f>
        <v>#N/A</v>
      </c>
      <c r="J2" s="8" cm="1">
        <f t="array" aca="1" ref="J2" ca="1">IF(isEmptyRow,"",INDIRECT("C"&amp;ROW())*INDIRECT("D"&amp;ROW()))</f>
        <v>1</v>
      </c>
      <c r="K2" s="8" cm="1">
        <f t="array" aca="1" ref="K2" ca="1">IF(isEmptyRow,"",J2*2)</f>
        <v>2</v>
      </c>
      <c r="L2" s="8" cm="1">
        <f t="array" aca="1" ref="L2" ca="1">IF(isEmptyRow,"",F_offset)</f>
        <v>0</v>
      </c>
      <c r="M2" s="9" t="str" cm="1">
        <f t="array" aca="1" ref="M2" ca="1">IF(isEmptyRow,"",F_address)</f>
        <v>200</v>
      </c>
      <c r="N2" s="14" cm="1">
        <f t="array" aca="1" ref="N2" ca="1">F_残</f>
        <v>246</v>
      </c>
      <c r="P2" t="str" cm="1">
        <f t="array" aca="1" ref="P2" ca="1">IF(isDataRow,テーブル定義コード_データ行,IF(isTermRow,テーブル定義コード_番兵行,IF(isCloseRow,テーブル定義コード_最終行,"")))</f>
        <v xml:space="preserve">	{(UC*)&amp;SW101_102_swrt,								1*1},	//   0	200h	スイッチ6,7</v>
      </c>
    </row>
    <row r="3" spans="1:16">
      <c r="A3" s="19"/>
      <c r="B3" s="19" t="s">
        <v>340</v>
      </c>
      <c r="C3" s="19">
        <v>1</v>
      </c>
      <c r="D3" s="19">
        <v>1</v>
      </c>
      <c r="E3" s="20"/>
      <c r="F3" s="20"/>
      <c r="G3" s="19"/>
      <c r="H3" s="19" t="s">
        <v>362</v>
      </c>
      <c r="I3" s="10" t="e" cm="1">
        <f t="array" aca="1" ref="I3" ca="1">IF(isEmptyRow,"",F_code)</f>
        <v>#N/A</v>
      </c>
      <c r="J3" s="10" cm="1">
        <f t="array" aca="1" ref="J3" ca="1">IF(isEmptyRow,"",INDIRECT("C"&amp;ROW())*INDIRECT("D"&amp;ROW()))</f>
        <v>1</v>
      </c>
      <c r="K3" s="10" cm="1">
        <f t="array" aca="1" ref="K3" ca="1">IF(isEmptyRow,"",J3*2)</f>
        <v>2</v>
      </c>
      <c r="L3" s="10" cm="1">
        <f t="array" aca="1" ref="L3" ca="1">IF(isEmptyRow,"",F_offset)</f>
        <v>2</v>
      </c>
      <c r="M3" s="11" t="str" cm="1">
        <f t="array" aca="1" ref="M3" ca="1">IF(isEmptyRow,"",F_address)</f>
        <v>202</v>
      </c>
      <c r="N3" s="15" cm="1">
        <f t="array" aca="1" ref="N3" ca="1">F_残</f>
        <v>244</v>
      </c>
      <c r="P3" t="str" cm="1">
        <f t="array" aca="1" ref="P3" ca="1">IF(isDataRow,テーブル定義コード_データ行,IF(isTermRow,テーブル定義コード_番兵行,IF(isCloseRow,テーブル定義コード_最終行,"")))</f>
        <v xml:space="preserve">	{(UC*)&amp;SW103_104_swrt,								1*1},	//   2	202h	スイッチ9,10</v>
      </c>
    </row>
    <row r="4" spans="1:16">
      <c r="A4" s="19"/>
      <c r="B4" s="19" t="s">
        <v>341</v>
      </c>
      <c r="C4" s="19">
        <v>1</v>
      </c>
      <c r="D4" s="19">
        <v>1</v>
      </c>
      <c r="E4" s="20"/>
      <c r="F4" s="20"/>
      <c r="G4" s="19"/>
      <c r="H4" s="19" t="s">
        <v>363</v>
      </c>
      <c r="I4" s="10" t="e" cm="1">
        <f t="array" aca="1" ref="I4" ca="1">IF(isEmptyRow,"",F_code)</f>
        <v>#N/A</v>
      </c>
      <c r="J4" s="10" cm="1">
        <f t="array" aca="1" ref="J4" ca="1">IF(isEmptyRow,"",INDIRECT("C"&amp;ROW())*INDIRECT("D"&amp;ROW()))</f>
        <v>1</v>
      </c>
      <c r="K4" s="10" cm="1">
        <f t="array" aca="1" ref="K4" ca="1">IF(isEmptyRow,"",J4*2)</f>
        <v>2</v>
      </c>
      <c r="L4" s="10" cm="1">
        <f t="array" aca="1" ref="L4" ca="1">IF(isEmptyRow,"",F_offset)</f>
        <v>4</v>
      </c>
      <c r="M4" s="11" t="str" cm="1">
        <f t="array" aca="1" ref="M4" ca="1">IF(isEmptyRow,"",F_address)</f>
        <v>204</v>
      </c>
      <c r="N4" s="15" cm="1">
        <f t="array" aca="1" ref="N4" ca="1">F_残</f>
        <v>242</v>
      </c>
      <c r="P4" t="str" cm="1">
        <f t="array" aca="1" ref="P4" ca="1">IF(isDataRow,テーブル定義コード_データ行,IF(isTermRow,テーブル定義コード_番兵行,IF(isCloseRow,テーブル定義コード_最終行,"")))</f>
        <v xml:space="preserve">	{(UC*)&amp;SW105_106_swrt,								1*1},	//   4	204h	スイッチ11,8</v>
      </c>
    </row>
    <row r="5" spans="1:16">
      <c r="A5" s="19"/>
      <c r="B5" s="19" t="s">
        <v>342</v>
      </c>
      <c r="C5" s="19">
        <v>1</v>
      </c>
      <c r="D5" s="19">
        <v>1</v>
      </c>
      <c r="E5" s="20"/>
      <c r="F5" s="20"/>
      <c r="G5" s="19"/>
      <c r="H5" s="19" t="s">
        <v>364</v>
      </c>
      <c r="I5" s="10" t="e" cm="1">
        <f t="array" aca="1" ref="I5" ca="1">IF(isEmptyRow,"",F_code)</f>
        <v>#N/A</v>
      </c>
      <c r="J5" s="10" cm="1">
        <f t="array" aca="1" ref="J5" ca="1">IF(isEmptyRow,"",INDIRECT("C"&amp;ROW())*INDIRECT("D"&amp;ROW()))</f>
        <v>1</v>
      </c>
      <c r="K5" s="10" cm="1">
        <f t="array" aca="1" ref="K5" ca="1">IF(isEmptyRow,"",J5*2)</f>
        <v>2</v>
      </c>
      <c r="L5" s="10" cm="1">
        <f t="array" aca="1" ref="L5" ca="1">IF(isEmptyRow,"",F_offset)</f>
        <v>6</v>
      </c>
      <c r="M5" s="11" t="str" cm="1">
        <f t="array" aca="1" ref="M5" ca="1">IF(isEmptyRow,"",F_address)</f>
        <v>206</v>
      </c>
      <c r="N5" s="15" cm="1">
        <f t="array" aca="1" ref="N5" ca="1">F_残</f>
        <v>240</v>
      </c>
      <c r="P5" t="str" cm="1">
        <f t="array" aca="1" ref="P5" ca="1">IF(isDataRow,テーブル定義コード_データ行,IF(isTermRow,テーブル定義コード_番兵行,IF(isCloseRow,テーブル定義コード_最終行,"")))</f>
        <v xml:space="preserve">	{(UC*)&amp;EP_RefLeakFlagsC,							1*1},	//   6	206h	冷媒漏洩TATSTO条件</v>
      </c>
    </row>
    <row r="6" spans="1:16">
      <c r="A6" s="19"/>
      <c r="B6" s="19" t="s">
        <v>343</v>
      </c>
      <c r="C6" s="19">
        <v>1</v>
      </c>
      <c r="D6" s="19">
        <v>1</v>
      </c>
      <c r="E6" s="20"/>
      <c r="F6" s="20"/>
      <c r="G6" s="19"/>
      <c r="H6" s="19" t="s">
        <v>365</v>
      </c>
      <c r="I6" s="10" t="e" cm="1">
        <f t="array" aca="1" ref="I6" ca="1">IF(isEmptyRow,"",F_code)</f>
        <v>#N/A</v>
      </c>
      <c r="J6" s="10" cm="1">
        <f t="array" aca="1" ref="J6" ca="1">IF(isEmptyRow,"",INDIRECT("C"&amp;ROW())*INDIRECT("D"&amp;ROW()))</f>
        <v>1</v>
      </c>
      <c r="K6" s="10" cm="1">
        <f t="array" aca="1" ref="K6" ca="1">IF(isEmptyRow,"",J6*2)</f>
        <v>2</v>
      </c>
      <c r="L6" s="10" cm="1">
        <f t="array" aca="1" ref="L6" ca="1">IF(isEmptyRow,"",F_offset)</f>
        <v>8</v>
      </c>
      <c r="M6" s="11" t="str" cm="1">
        <f t="array" aca="1" ref="M6" ca="1">IF(isEmptyRow,"",F_address)</f>
        <v>208</v>
      </c>
      <c r="N6" s="15" cm="1">
        <f t="array" aca="1" ref="N6" ca="1">F_残</f>
        <v>238</v>
      </c>
      <c r="P6" t="str" cm="1">
        <f t="array" aca="1" ref="P6" ca="1">IF(isDataRow,テーブル定義コード_データ行,IF(isTermRow,テーブル定義コード_番兵行,IF(isCloseRow,テーブル定義コード_最終行,"")))</f>
        <v xml:space="preserve">	{(UC*)&amp;SW_CN_swrt,									1*1},	//   8	208h	スイッチ4,5,8,15,ＣＮ30-32</v>
      </c>
    </row>
    <row r="7" spans="1:16">
      <c r="A7" s="19"/>
      <c r="B7" s="19" t="s">
        <v>344</v>
      </c>
      <c r="C7" s="19">
        <v>1</v>
      </c>
      <c r="D7" s="19">
        <v>1</v>
      </c>
      <c r="E7" s="20"/>
      <c r="F7" s="20"/>
      <c r="G7" s="19"/>
      <c r="H7" s="19" t="s">
        <v>366</v>
      </c>
      <c r="I7" s="10" t="e" cm="1">
        <f t="array" aca="1" ref="I7" ca="1">IF(isEmptyRow,"",F_code)</f>
        <v>#N/A</v>
      </c>
      <c r="J7" s="10" cm="1">
        <f t="array" aca="1" ref="J7" ca="1">IF(isEmptyRow,"",INDIRECT("C"&amp;ROW())*INDIRECT("D"&amp;ROW()))</f>
        <v>1</v>
      </c>
      <c r="K7" s="10" cm="1">
        <f t="array" aca="1" ref="K7" ca="1">IF(isEmptyRow,"",J7*2)</f>
        <v>2</v>
      </c>
      <c r="L7" s="10" cm="1">
        <f t="array" aca="1" ref="L7" ca="1">IF(isEmptyRow,"",F_offset)</f>
        <v>10</v>
      </c>
      <c r="M7" s="11" t="str" cm="1">
        <f t="array" aca="1" ref="M7" ca="1">IF(isEmptyRow,"",F_address)</f>
        <v>20A</v>
      </c>
      <c r="N7" s="15" cm="1">
        <f t="array" aca="1" ref="N7" ca="1">F_残</f>
        <v>236</v>
      </c>
      <c r="P7" t="str" cm="1">
        <f t="array" aca="1" ref="P7" ca="1">IF(isDataRow,テーブル定義コード_データ行,IF(isTermRow,テーブル定義コード_番兵行,IF(isCloseRow,テーブル定義コード_最終行,"")))</f>
        <v xml:space="preserve">	{(UC*)&amp;in_teikitm,									1*1},	//  10	20Ah	メインバス定期通信タイマ</v>
      </c>
    </row>
    <row r="8" spans="1:16">
      <c r="A8" s="19"/>
      <c r="B8" s="19" t="s">
        <v>345</v>
      </c>
      <c r="C8" s="19">
        <v>1</v>
      </c>
      <c r="D8" s="19">
        <v>1</v>
      </c>
      <c r="E8" s="20"/>
      <c r="F8" s="20"/>
      <c r="G8" s="19"/>
      <c r="H8" s="19" t="s">
        <v>367</v>
      </c>
      <c r="I8" s="10" t="e" cm="1">
        <f t="array" aca="1" ref="I8" ca="1">IF(isEmptyRow,"",F_code)</f>
        <v>#N/A</v>
      </c>
      <c r="J8" s="10" cm="1">
        <f t="array" aca="1" ref="J8" ca="1">IF(isEmptyRow,"",INDIRECT("C"&amp;ROW())*INDIRECT("D"&amp;ROW()))</f>
        <v>1</v>
      </c>
      <c r="K8" s="10" cm="1">
        <f t="array" aca="1" ref="K8" ca="1">IF(isEmptyRow,"",J8*2)</f>
        <v>2</v>
      </c>
      <c r="L8" s="10" cm="1">
        <f t="array" aca="1" ref="L8" ca="1">IF(isEmptyRow,"",F_offset)</f>
        <v>12</v>
      </c>
      <c r="M8" s="11" t="str" cm="1">
        <f t="array" aca="1" ref="M8" ca="1">IF(isEmptyRow,"",F_address)</f>
        <v>20C</v>
      </c>
      <c r="N8" s="15" cm="1">
        <f t="array" aca="1" ref="N8" ca="1">F_残</f>
        <v>234</v>
      </c>
      <c r="P8" t="str" cm="1">
        <f t="array" aca="1" ref="P8" ca="1">IF(isDataRow,テーブル定義コード_データ行,IF(isTermRow,テーブル定義コード_番兵行,IF(isCloseRow,テーブル定義コード_最終行,"")))</f>
        <v xml:space="preserve">	{(UC*)&amp;out_teikitm,									1*1},	//  12	20Ch	サブバス定期通信タイマ</v>
      </c>
    </row>
    <row r="9" spans="1:16">
      <c r="A9" s="19"/>
      <c r="B9" s="19" t="s">
        <v>346</v>
      </c>
      <c r="C9" s="19">
        <v>2</v>
      </c>
      <c r="D9" s="19">
        <v>1</v>
      </c>
      <c r="E9" s="20"/>
      <c r="F9" s="20"/>
      <c r="G9" s="19"/>
      <c r="H9" s="19" t="s">
        <v>368</v>
      </c>
      <c r="I9" s="10" t="e" cm="1">
        <f t="array" aca="1" ref="I9" ca="1">IF(isEmptyRow,"",F_code)</f>
        <v>#N/A</v>
      </c>
      <c r="J9" s="10" cm="1">
        <f t="array" aca="1" ref="J9" ca="1">IF(isEmptyRow,"",INDIRECT("C"&amp;ROW())*INDIRECT("D"&amp;ROW()))</f>
        <v>2</v>
      </c>
      <c r="K9" s="10" cm="1">
        <f t="array" aca="1" ref="K9" ca="1">IF(isEmptyRow,"",J9*2)</f>
        <v>4</v>
      </c>
      <c r="L9" s="10" cm="1">
        <f t="array" aca="1" ref="L9" ca="1">IF(isEmptyRow,"",F_offset)</f>
        <v>14</v>
      </c>
      <c r="M9" s="11" t="str" cm="1">
        <f t="array" aca="1" ref="M9" ca="1">IF(isEmptyRow,"",F_address)</f>
        <v>20E</v>
      </c>
      <c r="N9" s="15" cm="1">
        <f t="array" aca="1" ref="N9" ca="1">F_残</f>
        <v>230</v>
      </c>
      <c r="P9" t="str" cm="1">
        <f t="array" aca="1" ref="P9" ca="1">IF(isDataRow,テーブル定義コード_データ行,IF(isTermRow,テーブル定義コード_番兵行,IF(isCloseRow,テーブル定義コード_最終行,"")))</f>
        <v xml:space="preserve">	{(UC*)&amp;UhUnitAddress,								2*1},	//  14	20Eh	Uh側アドレス</v>
      </c>
    </row>
    <row r="10" spans="1:16">
      <c r="A10" s="19"/>
      <c r="B10" s="19" t="s">
        <v>347</v>
      </c>
      <c r="C10" s="19">
        <v>1</v>
      </c>
      <c r="D10" s="19">
        <v>1</v>
      </c>
      <c r="E10" s="20"/>
      <c r="F10" s="20"/>
      <c r="G10" s="19"/>
      <c r="H10" s="19" t="s">
        <v>369</v>
      </c>
      <c r="I10" s="10" t="e" cm="1">
        <f t="array" aca="1" ref="I10" ca="1">IF(isEmptyRow,"",F_code)</f>
        <v>#N/A</v>
      </c>
      <c r="J10" s="10" cm="1">
        <f t="array" aca="1" ref="J10" ca="1">IF(isEmptyRow,"",INDIRECT("C"&amp;ROW())*INDIRECT("D"&amp;ROW()))</f>
        <v>1</v>
      </c>
      <c r="K10" s="10" cm="1">
        <f t="array" aca="1" ref="K10" ca="1">IF(isEmptyRow,"",J10*2)</f>
        <v>2</v>
      </c>
      <c r="L10" s="10" cm="1">
        <f t="array" aca="1" ref="L10" ca="1">IF(isEmptyRow,"",F_offset)</f>
        <v>18</v>
      </c>
      <c r="M10" s="11" t="str" cm="1">
        <f t="array" aca="1" ref="M10" ca="1">IF(isEmptyRow,"",F_address)</f>
        <v>212</v>
      </c>
      <c r="N10" s="15" cm="1">
        <f t="array" aca="1" ref="N10" ca="1">F_残</f>
        <v>228</v>
      </c>
      <c r="P10" t="str" cm="1">
        <f t="array" aca="1" ref="P10" ca="1">IF(isDataRow,テーブル定義コード_データ行,IF(isTermRow,テーブル定義コード_番兵行,IF(isCloseRow,テーブル定義コード_最終行,"")))</f>
        <v xml:space="preserve">	{(UC*)&amp;SW1_2_swrt,									1*1},	//  18	212h	SW1_2</v>
      </c>
    </row>
    <row r="11" spans="1:16">
      <c r="A11" s="19"/>
      <c r="B11" s="19" t="s">
        <v>348</v>
      </c>
      <c r="C11" s="19">
        <v>1</v>
      </c>
      <c r="D11" s="19">
        <v>1</v>
      </c>
      <c r="E11" s="20"/>
      <c r="F11" s="20"/>
      <c r="G11" s="19"/>
      <c r="H11" s="19" t="s">
        <v>370</v>
      </c>
      <c r="I11" s="10" t="e" cm="1">
        <f t="array" aca="1" ref="I11" ca="1">IF(isEmptyRow,"",F_code)</f>
        <v>#N/A</v>
      </c>
      <c r="J11" s="10" cm="1">
        <f t="array" aca="1" ref="J11" ca="1">IF(isEmptyRow,"",INDIRECT("C"&amp;ROW())*INDIRECT("D"&amp;ROW()))</f>
        <v>1</v>
      </c>
      <c r="K11" s="10" cm="1">
        <f t="array" aca="1" ref="K11" ca="1">IF(isEmptyRow,"",J11*2)</f>
        <v>2</v>
      </c>
      <c r="L11" s="10" cm="1">
        <f t="array" aca="1" ref="L11" ca="1">IF(isEmptyRow,"",F_offset)</f>
        <v>20</v>
      </c>
      <c r="M11" s="11" t="str" cm="1">
        <f t="array" aca="1" ref="M11" ca="1">IF(isEmptyRow,"",F_address)</f>
        <v>214</v>
      </c>
      <c r="N11" s="15" cm="1">
        <f t="array" aca="1" ref="N11" ca="1">F_残</f>
        <v>226</v>
      </c>
      <c r="P11" t="str" cm="1">
        <f t="array" aca="1" ref="P11" ca="1">IF(isDataRow,テーブル定義コード_データ行,IF(isTermRow,テーブル定義コード_番兵行,IF(isCloseRow,テーブル定義コード_最終行,"")))</f>
        <v xml:space="preserve">	{(UC*)&amp;SW3_swrt,									1*1},	//  20	214h	SW3</v>
      </c>
    </row>
    <row r="12" spans="1:16">
      <c r="A12" s="19"/>
      <c r="B12" s="19" t="s">
        <v>17</v>
      </c>
      <c r="C12" s="19">
        <v>2</v>
      </c>
      <c r="D12" s="19">
        <v>1</v>
      </c>
      <c r="E12" s="20"/>
      <c r="F12" s="20"/>
      <c r="G12" s="19"/>
      <c r="H12" s="19" t="s">
        <v>371</v>
      </c>
      <c r="I12" s="10" t="e" cm="1">
        <f t="array" aca="1" ref="I12" ca="1">IF(isEmptyRow,"",F_code)</f>
        <v>#N/A</v>
      </c>
      <c r="J12" s="10" cm="1">
        <f t="array" aca="1" ref="J12" ca="1">IF(isEmptyRow,"",INDIRECT("C"&amp;ROW())*INDIRECT("D"&amp;ROW()))</f>
        <v>2</v>
      </c>
      <c r="K12" s="10" cm="1">
        <f t="array" aca="1" ref="K12" ca="1">IF(isEmptyRow,"",J12*2)</f>
        <v>4</v>
      </c>
      <c r="L12" s="10" cm="1">
        <f t="array" aca="1" ref="L12" ca="1">IF(isEmptyRow,"",F_offset)</f>
        <v>22</v>
      </c>
      <c r="M12" s="11" t="str" cm="1">
        <f t="array" aca="1" ref="M12" ca="1">IF(isEmptyRow,"",F_address)</f>
        <v>216</v>
      </c>
      <c r="N12" s="15" cm="1">
        <f t="array" aca="1" ref="N12" ca="1">F_残</f>
        <v>222</v>
      </c>
      <c r="P12" t="str" cm="1">
        <f t="array" aca="1" ref="P12" ca="1">IF(isDataRow,テーブル定義コード_データ行,IF(isTermRow,テーブル定義コード_番兵行,IF(isCloseRow,テーブル定義コード_最終行,"")))</f>
        <v xml:space="preserve">	{(UC*)&amp;DummyOut2,									2*1},	//  22	216h	ステップ補正値暖房</v>
      </c>
    </row>
    <row r="13" spans="1:16">
      <c r="A13" s="19"/>
      <c r="B13" s="19" t="s">
        <v>17</v>
      </c>
      <c r="C13" s="19">
        <v>2</v>
      </c>
      <c r="D13" s="19">
        <v>1</v>
      </c>
      <c r="E13" s="20"/>
      <c r="F13" s="20"/>
      <c r="G13" s="19"/>
      <c r="H13" s="19" t="s">
        <v>372</v>
      </c>
      <c r="I13" s="10" t="e" cm="1">
        <f t="array" aca="1" ref="I13" ca="1">IF(isEmptyRow,"",F_code)</f>
        <v>#N/A</v>
      </c>
      <c r="J13" s="10" cm="1">
        <f t="array" aca="1" ref="J13" ca="1">IF(isEmptyRow,"",INDIRECT("C"&amp;ROW())*INDIRECT("D"&amp;ROW()))</f>
        <v>2</v>
      </c>
      <c r="K13" s="10" cm="1">
        <f t="array" aca="1" ref="K13" ca="1">IF(isEmptyRow,"",J13*2)</f>
        <v>4</v>
      </c>
      <c r="L13" s="10" cm="1">
        <f t="array" aca="1" ref="L13" ca="1">IF(isEmptyRow,"",F_offset)</f>
        <v>26</v>
      </c>
      <c r="M13" s="11" t="str" cm="1">
        <f t="array" aca="1" ref="M13" ca="1">IF(isEmptyRow,"",F_address)</f>
        <v>21A</v>
      </c>
      <c r="N13" s="15" cm="1">
        <f t="array" aca="1" ref="N13" ca="1">F_残</f>
        <v>218</v>
      </c>
      <c r="P13" t="str" cm="1">
        <f t="array" aca="1" ref="P13" ca="1">IF(isDataRow,テーブル定義コード_データ行,IF(isTermRow,テーブル定義コード_番兵行,IF(isCloseRow,テーブル定義コード_最終行,"")))</f>
        <v xml:space="preserve">	{(UC*)&amp;DummyOut2,									2*1},	//  26	21Ah	電流レリース値</v>
      </c>
    </row>
    <row r="14" spans="1:16">
      <c r="A14" s="19"/>
      <c r="B14" s="19" t="s">
        <v>17</v>
      </c>
      <c r="C14" s="19">
        <v>2</v>
      </c>
      <c r="D14" s="19">
        <v>1</v>
      </c>
      <c r="E14" s="20"/>
      <c r="F14" s="20"/>
      <c r="G14" s="19"/>
      <c r="H14" s="19" t="s">
        <v>373</v>
      </c>
      <c r="I14" s="10" t="e" cm="1">
        <f t="array" aca="1" ref="I14" ca="1">IF(isEmptyRow,"",F_code)</f>
        <v>#N/A</v>
      </c>
      <c r="J14" s="10" cm="1">
        <f t="array" aca="1" ref="J14" ca="1">IF(isEmptyRow,"",INDIRECT("C"&amp;ROW())*INDIRECT("D"&amp;ROW()))</f>
        <v>2</v>
      </c>
      <c r="K14" s="10" cm="1">
        <f t="array" aca="1" ref="K14" ca="1">IF(isEmptyRow,"",J14*2)</f>
        <v>4</v>
      </c>
      <c r="L14" s="10" cm="1">
        <f t="array" aca="1" ref="L14" ca="1">IF(isEmptyRow,"",F_offset)</f>
        <v>30</v>
      </c>
      <c r="M14" s="11" t="str" cm="1">
        <f t="array" aca="1" ref="M14" ca="1">IF(isEmptyRow,"",F_address)</f>
        <v>21E</v>
      </c>
      <c r="N14" s="15" cm="1">
        <f t="array" aca="1" ref="N14" ca="1">F_残</f>
        <v>214</v>
      </c>
      <c r="P14" t="str" cm="1">
        <f t="array" aca="1" ref="P14" ca="1">IF(isDataRow,テーブル定義コード_データ行,IF(isTermRow,テーブル定義コード_番兵行,IF(isCloseRow,テーブル定義コード_最終行,"")))</f>
        <v xml:space="preserve">	{(UC*)&amp;DummyOut2,									2*1},	//  30	21Eh	ｆｍａｘ’（Ｈｚ/圧縮比）</v>
      </c>
    </row>
    <row r="15" spans="1:16">
      <c r="A15" s="19"/>
      <c r="B15" s="19" t="s">
        <v>17</v>
      </c>
      <c r="C15" s="19">
        <v>2</v>
      </c>
      <c r="D15" s="19">
        <v>1</v>
      </c>
      <c r="E15" s="20"/>
      <c r="F15" s="20"/>
      <c r="G15" s="19"/>
      <c r="H15" s="19" t="s">
        <v>374</v>
      </c>
      <c r="I15" s="10" t="e" cm="1">
        <f t="array" aca="1" ref="I15" ca="1">IF(isEmptyRow,"",F_code)</f>
        <v>#N/A</v>
      </c>
      <c r="J15" s="10" cm="1">
        <f t="array" aca="1" ref="J15" ca="1">IF(isEmptyRow,"",INDIRECT("C"&amp;ROW())*INDIRECT("D"&amp;ROW()))</f>
        <v>2</v>
      </c>
      <c r="K15" s="10" cm="1">
        <f t="array" aca="1" ref="K15" ca="1">IF(isEmptyRow,"",J15*2)</f>
        <v>4</v>
      </c>
      <c r="L15" s="10" cm="1">
        <f t="array" aca="1" ref="L15" ca="1">IF(isEmptyRow,"",F_offset)</f>
        <v>34</v>
      </c>
      <c r="M15" s="11" t="str" cm="1">
        <f t="array" aca="1" ref="M15" ca="1">IF(isEmptyRow,"",F_address)</f>
        <v>222</v>
      </c>
      <c r="N15" s="15" cm="1">
        <f t="array" aca="1" ref="N15" ca="1">F_残</f>
        <v>210</v>
      </c>
      <c r="P15" t="str" cm="1">
        <f t="array" aca="1" ref="P15" ca="1">IF(isDataRow,テーブル定義コード_データ行,IF(isTermRow,テーブル定義コード_番兵行,IF(isCloseRow,テーブル定義コード_最終行,"")))</f>
        <v xml:space="preserve">	{(UC*)&amp;DummyOut2,									2*1},	//  34	222h	ｆｍａｘ’</v>
      </c>
    </row>
    <row r="16" spans="1:16">
      <c r="A16" s="19"/>
      <c r="B16" s="19" t="s">
        <v>17</v>
      </c>
      <c r="C16" s="19">
        <v>2</v>
      </c>
      <c r="D16" s="19">
        <v>1</v>
      </c>
      <c r="E16" s="20"/>
      <c r="F16" s="20"/>
      <c r="G16" s="19"/>
      <c r="H16" s="19" t="s">
        <v>375</v>
      </c>
      <c r="I16" s="10" t="e" cm="1">
        <f t="array" aca="1" ref="I16" ca="1">IF(isEmptyRow,"",F_code)</f>
        <v>#N/A</v>
      </c>
      <c r="J16" s="10" cm="1">
        <f t="array" aca="1" ref="J16" ca="1">IF(isEmptyRow,"",INDIRECT("C"&amp;ROW())*INDIRECT("D"&amp;ROW()))</f>
        <v>2</v>
      </c>
      <c r="K16" s="10" cm="1">
        <f t="array" aca="1" ref="K16" ca="1">IF(isEmptyRow,"",J16*2)</f>
        <v>4</v>
      </c>
      <c r="L16" s="10" cm="1">
        <f t="array" aca="1" ref="L16" ca="1">IF(isEmptyRow,"",F_offset)</f>
        <v>38</v>
      </c>
      <c r="M16" s="11" t="str" cm="1">
        <f t="array" aca="1" ref="M16" ca="1">IF(isEmptyRow,"",F_address)</f>
        <v>226</v>
      </c>
      <c r="N16" s="15" cm="1">
        <f t="array" aca="1" ref="N16" ca="1">F_残</f>
        <v>206</v>
      </c>
      <c r="P16" t="str" cm="1">
        <f t="array" aca="1" ref="P16" ca="1">IF(isDataRow,テーブル定義コード_データ行,IF(isTermRow,テーブル定義コード_番兵行,IF(isCloseRow,テーブル定義コード_最終行,"")))</f>
        <v xml:space="preserve">	{(UC*)&amp;DummyOut2,									2*1},	//  38	226h	ｆｍｉｎ’</v>
      </c>
    </row>
    <row r="17" spans="1:16">
      <c r="A17" s="19"/>
      <c r="B17" s="19" t="s">
        <v>17</v>
      </c>
      <c r="C17" s="19">
        <v>2</v>
      </c>
      <c r="D17" s="19">
        <v>1</v>
      </c>
      <c r="E17" s="20"/>
      <c r="F17" s="20"/>
      <c r="G17" s="19"/>
      <c r="H17" s="19" t="s">
        <v>376</v>
      </c>
      <c r="I17" s="10" t="e" cm="1">
        <f t="array" aca="1" ref="I17" ca="1">IF(isEmptyRow,"",F_code)</f>
        <v>#N/A</v>
      </c>
      <c r="J17" s="10" cm="1">
        <f t="array" aca="1" ref="J17" ca="1">IF(isEmptyRow,"",INDIRECT("C"&amp;ROW())*INDIRECT("D"&amp;ROW()))</f>
        <v>2</v>
      </c>
      <c r="K17" s="10" cm="1">
        <f t="array" aca="1" ref="K17" ca="1">IF(isEmptyRow,"",J17*2)</f>
        <v>4</v>
      </c>
      <c r="L17" s="10" cm="1">
        <f t="array" aca="1" ref="L17" ca="1">IF(isEmptyRow,"",F_offset)</f>
        <v>42</v>
      </c>
      <c r="M17" s="11" t="str" cm="1">
        <f t="array" aca="1" ref="M17" ca="1">IF(isEmptyRow,"",F_address)</f>
        <v>22A</v>
      </c>
      <c r="N17" s="15" cm="1">
        <f t="array" aca="1" ref="N17" ca="1">F_残</f>
        <v>202</v>
      </c>
      <c r="P17" t="str" cm="1">
        <f t="array" aca="1" ref="P17" ca="1">IF(isDataRow,テーブル定義コード_データ行,IF(isTermRow,テーブル定義コード_番兵行,IF(isCloseRow,テーブル定義コード_最終行,"")))</f>
        <v xml:space="preserve">	{(UC*)&amp;DummyOut2,									2*1},	//  42	22Ah	ｆｍａｘ’（電流レリース）</v>
      </c>
    </row>
    <row r="18" spans="1:16">
      <c r="A18" s="19"/>
      <c r="B18" s="19" t="s">
        <v>17</v>
      </c>
      <c r="C18" s="19">
        <v>2</v>
      </c>
      <c r="D18" s="19">
        <v>1</v>
      </c>
      <c r="E18" s="20"/>
      <c r="F18" s="20"/>
      <c r="G18" s="19"/>
      <c r="H18" s="19" t="s">
        <v>377</v>
      </c>
      <c r="I18" s="10" t="e" cm="1">
        <f t="array" aca="1" ref="I18" ca="1">IF(isEmptyRow,"",F_code)</f>
        <v>#N/A</v>
      </c>
      <c r="J18" s="10" cm="1">
        <f t="array" aca="1" ref="J18" ca="1">IF(isEmptyRow,"",INDIRECT("C"&amp;ROW())*INDIRECT("D"&amp;ROW()))</f>
        <v>2</v>
      </c>
      <c r="K18" s="10" cm="1">
        <f t="array" aca="1" ref="K18" ca="1">IF(isEmptyRow,"",J18*2)</f>
        <v>4</v>
      </c>
      <c r="L18" s="10" cm="1">
        <f t="array" aca="1" ref="L18" ca="1">IF(isEmptyRow,"",F_offset)</f>
        <v>46</v>
      </c>
      <c r="M18" s="11" t="str" cm="1">
        <f t="array" aca="1" ref="M18" ca="1">IF(isEmptyRow,"",F_address)</f>
        <v>22E</v>
      </c>
      <c r="N18" s="15" cm="1">
        <f t="array" aca="1" ref="N18" ca="1">F_残</f>
        <v>198</v>
      </c>
      <c r="P18" t="str" cm="1">
        <f t="array" aca="1" ref="P18" ca="1">IF(isDataRow,テーブル定義コード_データ行,IF(isTermRow,テーブル定義コード_番兵行,IF(isCloseRow,テーブル定義コード_最終行,"")))</f>
        <v xml:space="preserve">	{(UC*)&amp;DummyOut2,									2*1},	//  46	22Eh	ｆｍａｘ’（ＴＨ過熱）</v>
      </c>
    </row>
    <row r="19" spans="1:16">
      <c r="A19" s="19"/>
      <c r="B19" s="19" t="s">
        <v>17</v>
      </c>
      <c r="C19" s="19">
        <v>2</v>
      </c>
      <c r="D19" s="19">
        <v>1</v>
      </c>
      <c r="E19" s="20"/>
      <c r="F19" s="20"/>
      <c r="G19" s="19"/>
      <c r="H19" s="19" t="s">
        <v>378</v>
      </c>
      <c r="I19" s="10" t="e" cm="1">
        <f t="array" aca="1" ref="I19" ca="1">IF(isEmptyRow,"",F_code)</f>
        <v>#N/A</v>
      </c>
      <c r="J19" s="10" cm="1">
        <f t="array" aca="1" ref="J19" ca="1">IF(isEmptyRow,"",INDIRECT("C"&amp;ROW())*INDIRECT("D"&amp;ROW()))</f>
        <v>2</v>
      </c>
      <c r="K19" s="10" cm="1">
        <f t="array" aca="1" ref="K19" ca="1">IF(isEmptyRow,"",J19*2)</f>
        <v>4</v>
      </c>
      <c r="L19" s="10" cm="1">
        <f t="array" aca="1" ref="L19" ca="1">IF(isEmptyRow,"",F_offset)</f>
        <v>50</v>
      </c>
      <c r="M19" s="11" t="str" cm="1">
        <f t="array" aca="1" ref="M19" ca="1">IF(isEmptyRow,"",F_address)</f>
        <v>232</v>
      </c>
      <c r="N19" s="15" cm="1">
        <f t="array" aca="1" ref="N19" ca="1">F_残</f>
        <v>194</v>
      </c>
      <c r="P19" t="str" cm="1">
        <f t="array" aca="1" ref="P19" ca="1">IF(isDataRow,テーブル定義コード_データ行,IF(isTermRow,テーブル定義コード_番兵行,IF(isCloseRow,テーブル定義コード_最終行,"")))</f>
        <v xml:space="preserve">	{(UC*)&amp;DummyOut2,									2*1},	//  50	232h	冷房室内補正後Ｆｃ（Ａ）</v>
      </c>
    </row>
    <row r="20" spans="1:16">
      <c r="A20" s="19"/>
      <c r="B20" s="19" t="s">
        <v>17</v>
      </c>
      <c r="C20" s="19">
        <v>2</v>
      </c>
      <c r="D20" s="19">
        <v>1</v>
      </c>
      <c r="E20" s="20"/>
      <c r="F20" s="20"/>
      <c r="G20" s="19"/>
      <c r="H20" s="19" t="s">
        <v>379</v>
      </c>
      <c r="I20" s="10" t="e" cm="1">
        <f t="array" aca="1" ref="I20" ca="1">IF(isEmptyRow,"",F_code)</f>
        <v>#N/A</v>
      </c>
      <c r="J20" s="10" cm="1">
        <f t="array" aca="1" ref="J20" ca="1">IF(isEmptyRow,"",INDIRECT("C"&amp;ROW())*INDIRECT("D"&amp;ROW()))</f>
        <v>2</v>
      </c>
      <c r="K20" s="10" cm="1">
        <f t="array" aca="1" ref="K20" ca="1">IF(isEmptyRow,"",J20*2)</f>
        <v>4</v>
      </c>
      <c r="L20" s="10" cm="1">
        <f t="array" aca="1" ref="L20" ca="1">IF(isEmptyRow,"",F_offset)</f>
        <v>54</v>
      </c>
      <c r="M20" s="11" t="str" cm="1">
        <f t="array" aca="1" ref="M20" ca="1">IF(isEmptyRow,"",F_address)</f>
        <v>236</v>
      </c>
      <c r="N20" s="15" cm="1">
        <f t="array" aca="1" ref="N20" ca="1">F_残</f>
        <v>190</v>
      </c>
      <c r="P20" t="str" cm="1">
        <f t="array" aca="1" ref="P20" ca="1">IF(isDataRow,テーブル定義コード_データ行,IF(isTermRow,テーブル定義コード_番兵行,IF(isCloseRow,テーブル定義コード_最終行,"")))</f>
        <v xml:space="preserve">	{(UC*)&amp;DummyOut2,									2*1},	//  54	236h	暖房室内補正後Ｆｈ（Ａ）</v>
      </c>
    </row>
    <row r="21" spans="1:16">
      <c r="A21" s="19"/>
      <c r="B21" s="19" t="s">
        <v>349</v>
      </c>
      <c r="C21" s="19">
        <v>2</v>
      </c>
      <c r="D21" s="19">
        <v>1</v>
      </c>
      <c r="E21" s="20"/>
      <c r="F21" s="20"/>
      <c r="G21" s="19"/>
      <c r="H21" s="19" t="s">
        <v>380</v>
      </c>
      <c r="I21" s="10" t="e" cm="1">
        <f t="array" aca="1" ref="I21" ca="1">IF(isEmptyRow,"",F_code)</f>
        <v>#N/A</v>
      </c>
      <c r="J21" s="10" cm="1">
        <f t="array" aca="1" ref="J21" ca="1">IF(isEmptyRow,"",INDIRECT("C"&amp;ROW())*INDIRECT("D"&amp;ROW()))</f>
        <v>2</v>
      </c>
      <c r="K21" s="10" cm="1">
        <f t="array" aca="1" ref="K21" ca="1">IF(isEmptyRow,"",J21*2)</f>
        <v>4</v>
      </c>
      <c r="L21" s="10" cm="1">
        <f t="array" aca="1" ref="L21" ca="1">IF(isEmptyRow,"",F_offset)</f>
        <v>58</v>
      </c>
      <c r="M21" s="11" t="str" cm="1">
        <f t="array" aca="1" ref="M21" ca="1">IF(isEmptyRow,"",F_address)</f>
        <v>23A</v>
      </c>
      <c r="N21" s="15" cm="1">
        <f t="array" aca="1" ref="N21" ca="1">F_残</f>
        <v>186</v>
      </c>
      <c r="P21" t="str" cm="1">
        <f t="array" aca="1" ref="P21" ca="1">IF(isDataRow,テーブル定義コード_データ行,IF(isTermRow,テーブル定義コード_番兵行,IF(isCloseRow,テーブル定義コード_最終行,"")))</f>
        <v xml:space="preserve">	{(UC*)&amp;IduFaCool,									2*1},	//  58	23Ah	Wc(A)'</v>
      </c>
    </row>
    <row r="22" spans="1:16">
      <c r="A22" s="19"/>
      <c r="B22" s="19" t="s">
        <v>350</v>
      </c>
      <c r="C22" s="19">
        <v>2</v>
      </c>
      <c r="D22" s="19">
        <v>1</v>
      </c>
      <c r="E22" s="20"/>
      <c r="F22" s="20"/>
      <c r="G22" s="19"/>
      <c r="H22" s="19" t="s">
        <v>381</v>
      </c>
      <c r="I22" s="10" t="e" cm="1">
        <f t="array" aca="1" ref="I22" ca="1">IF(isEmptyRow,"",F_code)</f>
        <v>#N/A</v>
      </c>
      <c r="J22" s="10" cm="1">
        <f t="array" aca="1" ref="J22" ca="1">IF(isEmptyRow,"",INDIRECT("C"&amp;ROW())*INDIRECT("D"&amp;ROW()))</f>
        <v>2</v>
      </c>
      <c r="K22" s="10" cm="1">
        <f t="array" aca="1" ref="K22" ca="1">IF(isEmptyRow,"",J22*2)</f>
        <v>4</v>
      </c>
      <c r="L22" s="10" cm="1">
        <f t="array" aca="1" ref="L22" ca="1">IF(isEmptyRow,"",F_offset)</f>
        <v>62</v>
      </c>
      <c r="M22" s="11" t="str" cm="1">
        <f t="array" aca="1" ref="M22" ca="1">IF(isEmptyRow,"",F_address)</f>
        <v>23E</v>
      </c>
      <c r="N22" s="15" cm="1">
        <f t="array" aca="1" ref="N22" ca="1">F_残</f>
        <v>182</v>
      </c>
      <c r="P22" t="str" cm="1">
        <f t="array" aca="1" ref="P22" ca="1">IF(isDataRow,テーブル定義コード_データ行,IF(isTermRow,テーブル定義コード_番兵行,IF(isCloseRow,テーブル定義コード_最終行,"")))</f>
        <v xml:space="preserve">	{(UC*)&amp;IduFaHeat,									2*1},	//  62	23Eh	Wh(A)'</v>
      </c>
    </row>
    <row r="23" spans="1:16">
      <c r="A23" s="19"/>
      <c r="B23" s="19" t="s">
        <v>17</v>
      </c>
      <c r="C23" s="19">
        <v>2</v>
      </c>
      <c r="D23" s="19">
        <v>1</v>
      </c>
      <c r="E23" s="20"/>
      <c r="F23" s="20"/>
      <c r="G23" s="19"/>
      <c r="H23" s="19" t="s">
        <v>382</v>
      </c>
      <c r="I23" s="10" t="e" cm="1">
        <f t="array" aca="1" ref="I23" ca="1">IF(isEmptyRow,"",F_code)</f>
        <v>#N/A</v>
      </c>
      <c r="J23" s="10" cm="1">
        <f t="array" aca="1" ref="J23" ca="1">IF(isEmptyRow,"",INDIRECT("C"&amp;ROW())*INDIRECT("D"&amp;ROW()))</f>
        <v>2</v>
      </c>
      <c r="K23" s="10" cm="1">
        <f t="array" aca="1" ref="K23" ca="1">IF(isEmptyRow,"",J23*2)</f>
        <v>4</v>
      </c>
      <c r="L23" s="10" cm="1">
        <f t="array" aca="1" ref="L23" ca="1">IF(isEmptyRow,"",F_offset)</f>
        <v>66</v>
      </c>
      <c r="M23" s="11" t="str" cm="1">
        <f t="array" aca="1" ref="M23" ca="1">IF(isEmptyRow,"",F_address)</f>
        <v>242</v>
      </c>
      <c r="N23" s="15" cm="1">
        <f t="array" aca="1" ref="N23" ca="1">F_残</f>
        <v>178</v>
      </c>
      <c r="P23" t="str" cm="1">
        <f t="array" aca="1" ref="P23" ca="1">IF(isDataRow,テーブル定義コード_データ行,IF(isTermRow,テーブル定義コード_番兵行,IF(isCloseRow,テーブル定義コード_最終行,"")))</f>
        <v xml:space="preserve">	{(UC*)&amp;DummyOut2,									2*1},	//  66	242h	ＦＡ（１）ベース</v>
      </c>
    </row>
    <row r="24" spans="1:16">
      <c r="A24" s="19"/>
      <c r="B24" s="19" t="s">
        <v>351</v>
      </c>
      <c r="C24" s="19">
        <v>1</v>
      </c>
      <c r="D24" s="19">
        <v>1</v>
      </c>
      <c r="E24" s="20"/>
      <c r="F24" s="20"/>
      <c r="G24" s="19"/>
      <c r="H24" s="19" t="s">
        <v>383</v>
      </c>
      <c r="I24" s="10" t="e" cm="1">
        <f t="array" aca="1" ref="I24" ca="1">IF(isEmptyRow,"",F_code)</f>
        <v>#N/A</v>
      </c>
      <c r="J24" s="10" cm="1">
        <f t="array" aca="1" ref="J24" ca="1">IF(isEmptyRow,"",INDIRECT("C"&amp;ROW())*INDIRECT("D"&amp;ROW()))</f>
        <v>1</v>
      </c>
      <c r="K24" s="10" cm="1">
        <f t="array" aca="1" ref="K24" ca="1">IF(isEmptyRow,"",J24*2)</f>
        <v>2</v>
      </c>
      <c r="L24" s="10" cm="1">
        <f t="array" aca="1" ref="L24" ca="1">IF(isEmptyRow,"",F_offset)</f>
        <v>70</v>
      </c>
      <c r="M24" s="11" t="str" cm="1">
        <f t="array" aca="1" ref="M24" ca="1">IF(isEmptyRow,"",F_address)</f>
        <v>246</v>
      </c>
      <c r="N24" s="15" cm="1">
        <f t="array" aca="1" ref="N24" ca="1">F_残</f>
        <v>176</v>
      </c>
      <c r="P24" t="str" cm="1">
        <f t="array" aca="1" ref="P24" ca="1">IF(isDataRow,テーブル定義コード_データ行,IF(isTermRow,テーブル定義コード_番兵行,IF(isCloseRow,テーブル定義コード_最終行,"")))</f>
        <v xml:space="preserve">	{(UC*)&amp;OutExistNo[0],								1*1},	//  70	246h	存在室外機アドレス[0]</v>
      </c>
    </row>
    <row r="25" spans="1:16">
      <c r="A25" s="19"/>
      <c r="B25" s="19" t="s">
        <v>352</v>
      </c>
      <c r="C25" s="19">
        <v>1</v>
      </c>
      <c r="D25" s="19">
        <v>1</v>
      </c>
      <c r="E25" s="20"/>
      <c r="F25" s="20"/>
      <c r="G25" s="19"/>
      <c r="H25" s="19" t="s">
        <v>384</v>
      </c>
      <c r="I25" s="10" t="e" cm="1">
        <f t="array" aca="1" ref="I25" ca="1">IF(isEmptyRow,"",F_code)</f>
        <v>#N/A</v>
      </c>
      <c r="J25" s="10" cm="1">
        <f t="array" aca="1" ref="J25" ca="1">IF(isEmptyRow,"",INDIRECT("C"&amp;ROW())*INDIRECT("D"&amp;ROW()))</f>
        <v>1</v>
      </c>
      <c r="K25" s="10" cm="1">
        <f t="array" aca="1" ref="K25" ca="1">IF(isEmptyRow,"",J25*2)</f>
        <v>2</v>
      </c>
      <c r="L25" s="10" cm="1">
        <f t="array" aca="1" ref="L25" ca="1">IF(isEmptyRow,"",F_offset)</f>
        <v>72</v>
      </c>
      <c r="M25" s="11" t="str" cm="1">
        <f t="array" aca="1" ref="M25" ca="1">IF(isEmptyRow,"",F_address)</f>
        <v>248</v>
      </c>
      <c r="N25" s="15" cm="1">
        <f t="array" aca="1" ref="N25" ca="1">F_残</f>
        <v>174</v>
      </c>
      <c r="P25" t="str" cm="1">
        <f t="array" aca="1" ref="P25" ca="1">IF(isDataRow,テーブル定義コード_データ行,IF(isTermRow,テーブル定義コード_番兵行,IF(isCloseRow,テーブル定義コード_最終行,"")))</f>
        <v xml:space="preserve">	{(UC*)&amp;OutExistNo[1],								1*1},	//  72	248h	存在室外機アドレス[1]</v>
      </c>
    </row>
    <row r="26" spans="1:16">
      <c r="A26" s="19"/>
      <c r="B26" s="19" t="s">
        <v>353</v>
      </c>
      <c r="C26" s="19">
        <v>1</v>
      </c>
      <c r="D26" s="19">
        <v>1</v>
      </c>
      <c r="E26" s="20"/>
      <c r="F26" s="20"/>
      <c r="G26" s="19"/>
      <c r="H26" s="19" t="s">
        <v>385</v>
      </c>
      <c r="I26" s="10" t="e" cm="1">
        <f t="array" aca="1" ref="I26" ca="1">IF(isEmptyRow,"",F_code)</f>
        <v>#N/A</v>
      </c>
      <c r="J26" s="10" cm="1">
        <f t="array" aca="1" ref="J26" ca="1">IF(isEmptyRow,"",INDIRECT("C"&amp;ROW())*INDIRECT("D"&amp;ROW()))</f>
        <v>1</v>
      </c>
      <c r="K26" s="10" cm="1">
        <f t="array" aca="1" ref="K26" ca="1">IF(isEmptyRow,"",J26*2)</f>
        <v>2</v>
      </c>
      <c r="L26" s="10" cm="1">
        <f t="array" aca="1" ref="L26" ca="1">IF(isEmptyRow,"",F_offset)</f>
        <v>74</v>
      </c>
      <c r="M26" s="11" t="str" cm="1">
        <f t="array" aca="1" ref="M26" ca="1">IF(isEmptyRow,"",F_address)</f>
        <v>24A</v>
      </c>
      <c r="N26" s="15" cm="1">
        <f t="array" aca="1" ref="N26" ca="1">F_残</f>
        <v>172</v>
      </c>
      <c r="P26" t="str" cm="1">
        <f t="array" aca="1" ref="P26" ca="1">IF(isDataRow,テーブル定義コード_データ行,IF(isTermRow,テーブル定義コード_番兵行,IF(isCloseRow,テーブル定義コード_最終行,"")))</f>
        <v xml:space="preserve">	{(UC*)&amp;OutExistNo[2],								1*1},	//  74	24Ah	存在室外機アドレス[2]</v>
      </c>
    </row>
    <row r="27" spans="1:16">
      <c r="A27" s="19"/>
      <c r="B27" s="19" t="s">
        <v>354</v>
      </c>
      <c r="C27" s="19">
        <v>1</v>
      </c>
      <c r="D27" s="19">
        <v>1</v>
      </c>
      <c r="E27" s="20"/>
      <c r="F27" s="20"/>
      <c r="G27" s="19"/>
      <c r="H27" s="19" t="s">
        <v>386</v>
      </c>
      <c r="I27" s="10" t="e" cm="1">
        <f t="array" aca="1" ref="I27" ca="1">IF(isEmptyRow,"",F_code)</f>
        <v>#N/A</v>
      </c>
      <c r="J27" s="10" cm="1">
        <f t="array" aca="1" ref="J27" ca="1">IF(isEmptyRow,"",INDIRECT("C"&amp;ROW())*INDIRECT("D"&amp;ROW()))</f>
        <v>1</v>
      </c>
      <c r="K27" s="10" cm="1">
        <f t="array" aca="1" ref="K27" ca="1">IF(isEmptyRow,"",J27*2)</f>
        <v>2</v>
      </c>
      <c r="L27" s="10" cm="1">
        <f t="array" aca="1" ref="L27" ca="1">IF(isEmptyRow,"",F_offset)</f>
        <v>76</v>
      </c>
      <c r="M27" s="11" t="str" cm="1">
        <f t="array" aca="1" ref="M27" ca="1">IF(isEmptyRow,"",F_address)</f>
        <v>24C</v>
      </c>
      <c r="N27" s="15" cm="1">
        <f t="array" aca="1" ref="N27" ca="1">F_残</f>
        <v>170</v>
      </c>
      <c r="P27" t="str" cm="1">
        <f t="array" aca="1" ref="P27" ca="1">IF(isDataRow,テーブル定義コード_データ行,IF(isTermRow,テーブル定義コード_番兵行,IF(isCloseRow,テーブル定義コード_最終行,"")))</f>
        <v xml:space="preserve">	{(UC*)&amp;OutExistNo[3],								1*1},	//  76	24Ch	存在室外機アドレス[3]</v>
      </c>
    </row>
    <row r="28" spans="1:16">
      <c r="A28" s="19"/>
      <c r="B28" s="19" t="s">
        <v>355</v>
      </c>
      <c r="C28" s="19">
        <v>1</v>
      </c>
      <c r="D28" s="19">
        <v>1</v>
      </c>
      <c r="E28" s="20"/>
      <c r="F28" s="20"/>
      <c r="G28" s="19"/>
      <c r="H28" s="19" t="s">
        <v>387</v>
      </c>
      <c r="I28" s="10" t="e" cm="1">
        <f t="array" aca="1" ref="I28" ca="1">IF(isEmptyRow,"",F_code)</f>
        <v>#N/A</v>
      </c>
      <c r="J28" s="10" cm="1">
        <f t="array" aca="1" ref="J28" ca="1">IF(isEmptyRow,"",INDIRECT("C"&amp;ROW())*INDIRECT("D"&amp;ROW()))</f>
        <v>1</v>
      </c>
      <c r="K28" s="10" cm="1">
        <f t="array" aca="1" ref="K28" ca="1">IF(isEmptyRow,"",J28*2)</f>
        <v>2</v>
      </c>
      <c r="L28" s="10" cm="1">
        <f t="array" aca="1" ref="L28" ca="1">IF(isEmptyRow,"",F_offset)</f>
        <v>78</v>
      </c>
      <c r="M28" s="11" t="str" cm="1">
        <f t="array" aca="1" ref="M28" ca="1">IF(isEmptyRow,"",F_address)</f>
        <v>24E</v>
      </c>
      <c r="N28" s="15" cm="1">
        <f t="array" aca="1" ref="N28" ca="1">F_残</f>
        <v>168</v>
      </c>
      <c r="P28" t="str" cm="1">
        <f t="array" aca="1" ref="P28" ca="1">IF(isDataRow,テーブル定義コード_データ行,IF(isTermRow,テーブル定義コード_番兵行,IF(isCloseRow,テーブル定義コード_最終行,"")))</f>
        <v xml:space="preserve">	{(UC*)&amp;OutExistNo[4],								1*1},	//  78	24Eh	存在室外機アドレス[4]</v>
      </c>
    </row>
    <row r="29" spans="1:16">
      <c r="A29" s="19"/>
      <c r="B29" s="19" t="s">
        <v>356</v>
      </c>
      <c r="C29" s="19">
        <v>1</v>
      </c>
      <c r="D29" s="19">
        <v>1</v>
      </c>
      <c r="E29" s="20"/>
      <c r="F29" s="20"/>
      <c r="G29" s="19"/>
      <c r="H29" s="19" t="s">
        <v>388</v>
      </c>
      <c r="I29" s="10" t="e" cm="1">
        <f t="array" aca="1" ref="I29" ca="1">IF(isEmptyRow,"",F_code)</f>
        <v>#N/A</v>
      </c>
      <c r="J29" s="10" cm="1">
        <f t="array" aca="1" ref="J29" ca="1">IF(isEmptyRow,"",INDIRECT("C"&amp;ROW())*INDIRECT("D"&amp;ROW()))</f>
        <v>1</v>
      </c>
      <c r="K29" s="10" cm="1">
        <f t="array" aca="1" ref="K29" ca="1">IF(isEmptyRow,"",J29*2)</f>
        <v>2</v>
      </c>
      <c r="L29" s="10" cm="1">
        <f t="array" aca="1" ref="L29" ca="1">IF(isEmptyRow,"",F_offset)</f>
        <v>80</v>
      </c>
      <c r="M29" s="11" t="str" cm="1">
        <f t="array" aca="1" ref="M29" ca="1">IF(isEmptyRow,"",F_address)</f>
        <v>250</v>
      </c>
      <c r="N29" s="15" cm="1">
        <f t="array" aca="1" ref="N29" ca="1">F_残</f>
        <v>166</v>
      </c>
      <c r="P29" t="str" cm="1">
        <f t="array" aca="1" ref="P29" ca="1">IF(isDataRow,テーブル定義コード_データ行,IF(isTermRow,テーブル定義コード_番兵行,IF(isCloseRow,テーブル定義コード_最終行,"")))</f>
        <v xml:space="preserve">	{(UC*)&amp;Output_LED[0],								1*1},	//  80	250h	７ｓｅｇ表示１</v>
      </c>
    </row>
    <row r="30" spans="1:16">
      <c r="A30" s="19"/>
      <c r="B30" s="19" t="s">
        <v>357</v>
      </c>
      <c r="C30" s="19">
        <v>1</v>
      </c>
      <c r="D30" s="19">
        <v>1</v>
      </c>
      <c r="E30" s="20"/>
      <c r="F30" s="20"/>
      <c r="G30" s="19"/>
      <c r="H30" s="19" t="s">
        <v>389</v>
      </c>
      <c r="I30" s="10" t="e" cm="1">
        <f t="array" aca="1" ref="I30" ca="1">IF(isEmptyRow,"",F_code)</f>
        <v>#N/A</v>
      </c>
      <c r="J30" s="10" cm="1">
        <f t="array" aca="1" ref="J30" ca="1">IF(isEmptyRow,"",INDIRECT("C"&amp;ROW())*INDIRECT("D"&amp;ROW()))</f>
        <v>1</v>
      </c>
      <c r="K30" s="10" cm="1">
        <f t="array" aca="1" ref="K30" ca="1">IF(isEmptyRow,"",J30*2)</f>
        <v>2</v>
      </c>
      <c r="L30" s="10" cm="1">
        <f t="array" aca="1" ref="L30" ca="1">IF(isEmptyRow,"",F_offset)</f>
        <v>82</v>
      </c>
      <c r="M30" s="11" t="str" cm="1">
        <f t="array" aca="1" ref="M30" ca="1">IF(isEmptyRow,"",F_address)</f>
        <v>252</v>
      </c>
      <c r="N30" s="15" cm="1">
        <f t="array" aca="1" ref="N30" ca="1">F_残</f>
        <v>164</v>
      </c>
      <c r="P30" t="str" cm="1">
        <f t="array" aca="1" ref="P30" ca="1">IF(isDataRow,テーブル定義コード_データ行,IF(isTermRow,テーブル定義コード_番兵行,IF(isCloseRow,テーブル定義コード_最終行,"")))</f>
        <v xml:space="preserve">	{(UC*)&amp;Output_LED[1],								1*1},	//  82	252h	７ｓｅｇ表示２</v>
      </c>
    </row>
    <row r="31" spans="1:16">
      <c r="A31" s="19"/>
      <c r="B31" s="19" t="s">
        <v>358</v>
      </c>
      <c r="C31" s="19">
        <v>1</v>
      </c>
      <c r="D31" s="19">
        <v>1</v>
      </c>
      <c r="E31" s="20"/>
      <c r="F31" s="20"/>
      <c r="G31" s="19"/>
      <c r="H31" s="19" t="s">
        <v>390</v>
      </c>
      <c r="I31" s="10" t="e" cm="1">
        <f t="array" aca="1" ref="I31" ca="1">IF(isEmptyRow,"",F_code)</f>
        <v>#N/A</v>
      </c>
      <c r="J31" s="10" cm="1">
        <f t="array" aca="1" ref="J31" ca="1">IF(isEmptyRow,"",INDIRECT("C"&amp;ROW())*INDIRECT("D"&amp;ROW()))</f>
        <v>1</v>
      </c>
      <c r="K31" s="10" cm="1">
        <f t="array" aca="1" ref="K31" ca="1">IF(isEmptyRow,"",J31*2)</f>
        <v>2</v>
      </c>
      <c r="L31" s="10" cm="1">
        <f t="array" aca="1" ref="L31" ca="1">IF(isEmptyRow,"",F_offset)</f>
        <v>84</v>
      </c>
      <c r="M31" s="11" t="str" cm="1">
        <f t="array" aca="1" ref="M31" ca="1">IF(isEmptyRow,"",F_address)</f>
        <v>254</v>
      </c>
      <c r="N31" s="15" cm="1">
        <f t="array" aca="1" ref="N31" ca="1">F_残</f>
        <v>162</v>
      </c>
      <c r="P31" t="str" cm="1">
        <f t="array" aca="1" ref="P31" ca="1">IF(isDataRow,テーブル定義コード_データ行,IF(isTermRow,テーブル定義コード_番兵行,IF(isCloseRow,テーブル定義コード_最終行,"")))</f>
        <v xml:space="preserve">	{(UC*)&amp;Output_LED[2],								1*1},	//  84	254h	７ｓｅｇ表示３</v>
      </c>
    </row>
    <row r="32" spans="1:16">
      <c r="A32" s="19"/>
      <c r="B32" s="19" t="s">
        <v>359</v>
      </c>
      <c r="C32" s="19">
        <v>1</v>
      </c>
      <c r="D32" s="19">
        <v>1</v>
      </c>
      <c r="E32" s="20"/>
      <c r="F32" s="20"/>
      <c r="G32" s="19"/>
      <c r="H32" s="19" t="s">
        <v>391</v>
      </c>
      <c r="I32" s="10" t="e" cm="1">
        <f t="array" aca="1" ref="I32" ca="1">IF(isEmptyRow,"",F_code)</f>
        <v>#N/A</v>
      </c>
      <c r="J32" s="10" cm="1">
        <f t="array" aca="1" ref="J32" ca="1">IF(isEmptyRow,"",INDIRECT("C"&amp;ROW())*INDIRECT("D"&amp;ROW()))</f>
        <v>1</v>
      </c>
      <c r="K32" s="10" cm="1">
        <f t="array" aca="1" ref="K32" ca="1">IF(isEmptyRow,"",J32*2)</f>
        <v>2</v>
      </c>
      <c r="L32" s="10" cm="1">
        <f t="array" aca="1" ref="L32" ca="1">IF(isEmptyRow,"",F_offset)</f>
        <v>86</v>
      </c>
      <c r="M32" s="11" t="str" cm="1">
        <f t="array" aca="1" ref="M32" ca="1">IF(isEmptyRow,"",F_address)</f>
        <v>256</v>
      </c>
      <c r="N32" s="15" cm="1">
        <f t="array" aca="1" ref="N32" ca="1">F_残</f>
        <v>160</v>
      </c>
      <c r="P32" t="str" cm="1">
        <f t="array" aca="1" ref="P32" ca="1">IF(isDataRow,テーブル定義コード_データ行,IF(isTermRow,テーブル定義コード_番兵行,IF(isCloseRow,テーブル定義コード_最終行,"")))</f>
        <v xml:space="preserve">	{(UC*)&amp;Output_LED[3],								1*1},	//  86	256h	７ｓｅｇ表示４</v>
      </c>
    </row>
    <row r="33" spans="1:16">
      <c r="A33" s="19"/>
      <c r="B33" s="19" t="s">
        <v>360</v>
      </c>
      <c r="C33" s="19">
        <v>1</v>
      </c>
      <c r="D33" s="19">
        <v>1</v>
      </c>
      <c r="E33" s="20"/>
      <c r="F33" s="20"/>
      <c r="G33" s="19"/>
      <c r="H33" s="19" t="s">
        <v>392</v>
      </c>
      <c r="I33" s="10" t="e" cm="1">
        <f t="array" aca="1" ref="I33" ca="1">IF(isEmptyRow,"",F_code)</f>
        <v>#N/A</v>
      </c>
      <c r="J33" s="10" cm="1">
        <f t="array" aca="1" ref="J33" ca="1">IF(isEmptyRow,"",INDIRECT("C"&amp;ROW())*INDIRECT("D"&amp;ROW()))</f>
        <v>1</v>
      </c>
      <c r="K33" s="10" cm="1">
        <f t="array" aca="1" ref="K33" ca="1">IF(isEmptyRow,"",J33*2)</f>
        <v>2</v>
      </c>
      <c r="L33" s="10" cm="1">
        <f t="array" aca="1" ref="L33" ca="1">IF(isEmptyRow,"",F_offset)</f>
        <v>88</v>
      </c>
      <c r="M33" s="11" t="str" cm="1">
        <f t="array" aca="1" ref="M33" ca="1">IF(isEmptyRow,"",F_address)</f>
        <v>258</v>
      </c>
      <c r="N33" s="15" cm="1">
        <f t="array" aca="1" ref="N33" ca="1">F_残</f>
        <v>158</v>
      </c>
      <c r="P33" t="str" cm="1">
        <f t="array" aca="1" ref="P33" ca="1">IF(isDataRow,テーブル定義コード_データ行,IF(isTermRow,テーブル定義コード_番兵行,IF(isCloseRow,テーブル定義コード_最終行,"")))</f>
        <v xml:space="preserve">	{(UC*)&amp;Output_LED[4],								1*1},	//  88	258h	７ｓｅｇ表示５</v>
      </c>
    </row>
    <row r="34" spans="1:16">
      <c r="A34" s="19"/>
      <c r="B34" s="19"/>
      <c r="C34" s="19"/>
      <c r="D34" s="19"/>
      <c r="E34" s="20"/>
      <c r="F34" s="20"/>
      <c r="G34" s="19"/>
      <c r="H34" s="19"/>
      <c r="I34" s="10" t="str" cm="1">
        <f t="array" aca="1" ref="I34" ca="1">IF(isEmptyRow,"",F_code)</f>
        <v/>
      </c>
      <c r="J34" s="10" t="str" cm="1">
        <f t="array" aca="1" ref="J34" ca="1">IF(isEmptyRow,"",INDIRECT("C"&amp;ROW())*INDIRECT("D"&amp;ROW()))</f>
        <v/>
      </c>
      <c r="K34" s="10" t="str" cm="1">
        <f t="array" aca="1" ref="K34" ca="1">IF(isEmptyRow,"",J34*2)</f>
        <v/>
      </c>
      <c r="L34" s="10" t="str" cm="1">
        <f t="array" aca="1" ref="L34" ca="1">IF(isEmptyRow,"",F_offset)</f>
        <v/>
      </c>
      <c r="M34" s="11" t="str" cm="1">
        <f t="array" aca="1" ref="M34" ca="1">IF(isEmptyRow,"",F_address)</f>
        <v/>
      </c>
      <c r="N34" s="15" cm="1">
        <f t="array" aca="1" ref="N34" ca="1">F_残</f>
        <v>158</v>
      </c>
      <c r="P34" t="str" cm="1">
        <f t="array" aca="1" ref="P34" ca="1">IF(isDataRow,テーブル定義コード_データ行,IF(isTermRow,テーブル定義コード_番兵行,IF(isCloseRow,テーブル定義コード_最終行,"")))</f>
        <v xml:space="preserve">	{0,0}</v>
      </c>
    </row>
    <row r="35" spans="1:16">
      <c r="A35" s="19"/>
      <c r="B35" s="19"/>
      <c r="C35" s="19"/>
      <c r="D35" s="19"/>
      <c r="E35" s="20"/>
      <c r="F35" s="20"/>
      <c r="G35" s="19"/>
      <c r="H35" s="19"/>
      <c r="I35" s="10" t="str" cm="1">
        <f t="array" aca="1" ref="I35" ca="1">IF(isEmptyRow,"",F_code)</f>
        <v/>
      </c>
      <c r="J35" s="10" t="str" cm="1">
        <f t="array" aca="1" ref="J35" ca="1">IF(isEmptyRow,"",INDIRECT("C"&amp;ROW())*INDIRECT("D"&amp;ROW()))</f>
        <v/>
      </c>
      <c r="K35" s="10" t="str" cm="1">
        <f t="array" aca="1" ref="K35" ca="1">IF(isEmptyRow,"",J35*2)</f>
        <v/>
      </c>
      <c r="L35" s="10" t="str" cm="1">
        <f t="array" aca="1" ref="L35" ca="1">IF(isEmptyRow,"",F_offset)</f>
        <v/>
      </c>
      <c r="M35" s="11" t="str" cm="1">
        <f t="array" aca="1" ref="M35" ca="1">IF(isEmptyRow,"",F_address)</f>
        <v/>
      </c>
      <c r="N35" s="15" cm="1">
        <f t="array" aca="1" ref="N35" ca="1">F_残</f>
        <v>158</v>
      </c>
      <c r="P35" t="str" cm="1">
        <f t="array" aca="1" ref="P35" ca="1">IF(isDataRow,テーブル定義コード_データ行,IF(isTermRow,テーブル定義コード_番兵行,IF(isCloseRow,テーブル定義コード_最終行,"")))</f>
        <v xml:space="preserve">};_x000D_
</v>
      </c>
    </row>
    <row r="36" spans="1:16">
      <c r="A36" s="19"/>
      <c r="B36" s="19"/>
      <c r="C36" s="19"/>
      <c r="D36" s="19"/>
      <c r="E36" s="20"/>
      <c r="F36" s="20"/>
      <c r="G36" s="19"/>
      <c r="H36" s="19"/>
      <c r="I36" s="10" t="str" cm="1">
        <f t="array" aca="1" ref="I36" ca="1">IF(isEmptyRow,"",F_code)</f>
        <v/>
      </c>
      <c r="J36" s="10" t="str" cm="1">
        <f t="array" aca="1" ref="J36" ca="1">IF(isEmptyRow,"",INDIRECT("C"&amp;ROW())*INDIRECT("D"&amp;ROW()))</f>
        <v/>
      </c>
      <c r="K36" s="10" t="str" cm="1">
        <f t="array" aca="1" ref="K36" ca="1">IF(isEmptyRow,"",J36*2)</f>
        <v/>
      </c>
      <c r="L36" s="10" t="str" cm="1">
        <f t="array" aca="1" ref="L36" ca="1">IF(isEmptyRow,"",F_offset)</f>
        <v/>
      </c>
      <c r="M36" s="11" t="str" cm="1">
        <f t="array" aca="1" ref="M36" ca="1">IF(isEmptyRow,"",F_address)</f>
        <v/>
      </c>
      <c r="N36" s="15" cm="1">
        <f t="array" aca="1" ref="N36" ca="1">F_残</f>
        <v>158</v>
      </c>
      <c r="P36" t="str" cm="1">
        <f t="array" aca="1" ref="P36" ca="1">IF(isDataRow,テーブル定義コード_データ行,IF(isTermRow,テーブル定義コード_番兵行,IF(isCloseRow,テーブル定義コード_最終行,"")))</f>
        <v/>
      </c>
    </row>
    <row r="37" spans="1:16">
      <c r="A37" s="19"/>
      <c r="B37" s="19"/>
      <c r="C37" s="19"/>
      <c r="D37" s="19"/>
      <c r="E37" s="20"/>
      <c r="F37" s="20"/>
      <c r="G37" s="19"/>
      <c r="H37" s="19"/>
      <c r="I37" s="10" t="str" cm="1">
        <f t="array" aca="1" ref="I37" ca="1">IF(isEmptyRow,"",F_code)</f>
        <v/>
      </c>
      <c r="J37" s="10" t="str" cm="1">
        <f t="array" aca="1" ref="J37" ca="1">IF(isEmptyRow,"",INDIRECT("C"&amp;ROW())*INDIRECT("D"&amp;ROW()))</f>
        <v/>
      </c>
      <c r="K37" s="10" t="str" cm="1">
        <f t="array" aca="1" ref="K37" ca="1">IF(isEmptyRow,"",J37*2)</f>
        <v/>
      </c>
      <c r="L37" s="10" t="str" cm="1">
        <f t="array" aca="1" ref="L37" ca="1">IF(isEmptyRow,"",F_offset)</f>
        <v/>
      </c>
      <c r="M37" s="11" t="str" cm="1">
        <f t="array" aca="1" ref="M37" ca="1">IF(isEmptyRow,"",F_address)</f>
        <v/>
      </c>
      <c r="N37" s="15" cm="1">
        <f t="array" aca="1" ref="N37" ca="1">F_残</f>
        <v>158</v>
      </c>
      <c r="P37" t="str" cm="1">
        <f t="array" aca="1" ref="P37" ca="1">IF(isDataRow,テーブル定義コード_データ行,IF(isTermRow,テーブル定義コード_番兵行,IF(isCloseRow,テーブル定義コード_最終行,"")))</f>
        <v/>
      </c>
    </row>
    <row r="38" spans="1:16">
      <c r="A38" s="19"/>
      <c r="B38" s="19"/>
      <c r="C38" s="19"/>
      <c r="D38" s="19"/>
      <c r="E38" s="20"/>
      <c r="F38" s="20"/>
      <c r="G38" s="19"/>
      <c r="H38" s="19"/>
      <c r="I38" s="10" t="str" cm="1">
        <f t="array" aca="1" ref="I38" ca="1">IF(isEmptyRow,"",F_code)</f>
        <v/>
      </c>
      <c r="J38" s="10" t="str" cm="1">
        <f t="array" aca="1" ref="J38" ca="1">IF(isEmptyRow,"",INDIRECT("C"&amp;ROW())*INDIRECT("D"&amp;ROW()))</f>
        <v/>
      </c>
      <c r="K38" s="10" t="str" cm="1">
        <f t="array" aca="1" ref="K38" ca="1">IF(isEmptyRow,"",J38*2)</f>
        <v/>
      </c>
      <c r="L38" s="10" t="str" cm="1">
        <f t="array" aca="1" ref="L38" ca="1">IF(isEmptyRow,"",F_offset)</f>
        <v/>
      </c>
      <c r="M38" s="11" t="str" cm="1">
        <f t="array" aca="1" ref="M38" ca="1">IF(isEmptyRow,"",F_address)</f>
        <v/>
      </c>
      <c r="N38" s="15" cm="1">
        <f t="array" aca="1" ref="N38" ca="1">F_残</f>
        <v>158</v>
      </c>
      <c r="P38" t="str" cm="1">
        <f t="array" aca="1" ref="P38" ca="1">IF(isDataRow,テーブル定義コード_データ行,IF(isTermRow,テーブル定義コード_番兵行,IF(isCloseRow,テーブル定義コード_最終行,"")))</f>
        <v/>
      </c>
    </row>
    <row r="39" spans="1:16">
      <c r="A39" s="19"/>
      <c r="B39" s="19"/>
      <c r="C39" s="19"/>
      <c r="D39" s="19"/>
      <c r="E39" s="20"/>
      <c r="F39" s="20"/>
      <c r="G39" s="19"/>
      <c r="H39" s="19"/>
      <c r="I39" s="10" t="str" cm="1">
        <f t="array" aca="1" ref="I39" ca="1">IF(isEmptyRow,"",F_code)</f>
        <v/>
      </c>
      <c r="J39" s="10" t="str" cm="1">
        <f t="array" aca="1" ref="J39" ca="1">IF(isEmptyRow,"",INDIRECT("C"&amp;ROW())*INDIRECT("D"&amp;ROW()))</f>
        <v/>
      </c>
      <c r="K39" s="10" t="str" cm="1">
        <f t="array" aca="1" ref="K39" ca="1">IF(isEmptyRow,"",J39*2)</f>
        <v/>
      </c>
      <c r="L39" s="10" t="str" cm="1">
        <f t="array" aca="1" ref="L39" ca="1">IF(isEmptyRow,"",F_offset)</f>
        <v/>
      </c>
      <c r="M39" s="11" t="str" cm="1">
        <f t="array" aca="1" ref="M39" ca="1">IF(isEmptyRow,"",F_address)</f>
        <v/>
      </c>
      <c r="N39" s="15" cm="1">
        <f t="array" aca="1" ref="N39" ca="1">F_残</f>
        <v>158</v>
      </c>
      <c r="P39" t="str" cm="1">
        <f t="array" aca="1" ref="P39" ca="1">IF(isDataRow,テーブル定義コード_データ行,IF(isTermRow,テーブル定義コード_番兵行,IF(isCloseRow,テーブル定義コード_最終行,"")))</f>
        <v/>
      </c>
    </row>
    <row r="40" spans="1:16">
      <c r="A40" s="19"/>
      <c r="B40" s="19"/>
      <c r="C40" s="19"/>
      <c r="D40" s="19"/>
      <c r="E40" s="20"/>
      <c r="F40" s="20"/>
      <c r="G40" s="19"/>
      <c r="H40" s="19"/>
      <c r="I40" s="10" t="str" cm="1">
        <f t="array" aca="1" ref="I40" ca="1">IF(isEmptyRow,"",F_code)</f>
        <v/>
      </c>
      <c r="J40" s="10" t="str" cm="1">
        <f t="array" aca="1" ref="J40" ca="1">IF(isEmptyRow,"",INDIRECT("C"&amp;ROW())*INDIRECT("D"&amp;ROW()))</f>
        <v/>
      </c>
      <c r="K40" s="10" t="str" cm="1">
        <f t="array" aca="1" ref="K40" ca="1">IF(isEmptyRow,"",J40*2)</f>
        <v/>
      </c>
      <c r="L40" s="10" t="str" cm="1">
        <f t="array" aca="1" ref="L40" ca="1">IF(isEmptyRow,"",F_offset)</f>
        <v/>
      </c>
      <c r="M40" s="11" t="str" cm="1">
        <f t="array" aca="1" ref="M40" ca="1">IF(isEmptyRow,"",F_address)</f>
        <v/>
      </c>
      <c r="N40" s="15" cm="1">
        <f t="array" aca="1" ref="N40" ca="1">F_残</f>
        <v>158</v>
      </c>
      <c r="P40" t="str" cm="1">
        <f t="array" aca="1" ref="P40" ca="1">IF(isDataRow,テーブル定義コード_データ行,IF(isTermRow,テーブル定義コード_番兵行,IF(isCloseRow,テーブル定義コード_最終行,"")))</f>
        <v/>
      </c>
    </row>
    <row r="41" spans="1:16">
      <c r="A41" s="19"/>
      <c r="B41" s="19"/>
      <c r="C41" s="19"/>
      <c r="D41" s="19"/>
      <c r="E41" s="20"/>
      <c r="F41" s="20"/>
      <c r="G41" s="19"/>
      <c r="H41" s="19"/>
      <c r="I41" s="10" t="str" cm="1">
        <f t="array" aca="1" ref="I41" ca="1">IF(isEmptyRow,"",F_code)</f>
        <v/>
      </c>
      <c r="J41" s="10" t="str" cm="1">
        <f t="array" aca="1" ref="J41" ca="1">IF(isEmptyRow,"",INDIRECT("C"&amp;ROW())*INDIRECT("D"&amp;ROW()))</f>
        <v/>
      </c>
      <c r="K41" s="10" t="str" cm="1">
        <f t="array" aca="1" ref="K41" ca="1">IF(isEmptyRow,"",J41*2)</f>
        <v/>
      </c>
      <c r="L41" s="10" t="str" cm="1">
        <f t="array" aca="1" ref="L41" ca="1">IF(isEmptyRow,"",F_offset)</f>
        <v/>
      </c>
      <c r="M41" s="11" t="str" cm="1">
        <f t="array" aca="1" ref="M41" ca="1">IF(isEmptyRow,"",F_address)</f>
        <v/>
      </c>
      <c r="N41" s="15" cm="1">
        <f t="array" aca="1" ref="N41" ca="1">F_残</f>
        <v>158</v>
      </c>
      <c r="P41" t="str" cm="1">
        <f t="array" aca="1" ref="P41" ca="1">IF(isDataRow,テーブル定義コード_データ行,IF(isTermRow,テーブル定義コード_番兵行,IF(isCloseRow,テーブル定義コード_最終行,"")))</f>
        <v/>
      </c>
    </row>
    <row r="42" spans="1:16">
      <c r="A42" s="19"/>
      <c r="B42" s="19"/>
      <c r="C42" s="19"/>
      <c r="D42" s="19"/>
      <c r="E42" s="20"/>
      <c r="F42" s="20"/>
      <c r="G42" s="19"/>
      <c r="H42" s="19"/>
      <c r="I42" s="10" t="str" cm="1">
        <f t="array" aca="1" ref="I42" ca="1">IF(isEmptyRow,"",F_code)</f>
        <v/>
      </c>
      <c r="J42" s="10" t="str" cm="1">
        <f t="array" aca="1" ref="J42" ca="1">IF(isEmptyRow,"",INDIRECT("C"&amp;ROW())*INDIRECT("D"&amp;ROW()))</f>
        <v/>
      </c>
      <c r="K42" s="10" t="str" cm="1">
        <f t="array" aca="1" ref="K42" ca="1">IF(isEmptyRow,"",J42*2)</f>
        <v/>
      </c>
      <c r="L42" s="10" t="str" cm="1">
        <f t="array" aca="1" ref="L42" ca="1">IF(isEmptyRow,"",F_offset)</f>
        <v/>
      </c>
      <c r="M42" s="11" t="str" cm="1">
        <f t="array" aca="1" ref="M42" ca="1">IF(isEmptyRow,"",F_address)</f>
        <v/>
      </c>
      <c r="N42" s="15" cm="1">
        <f t="array" aca="1" ref="N42" ca="1">F_残</f>
        <v>158</v>
      </c>
      <c r="P42" t="str" cm="1">
        <f t="array" aca="1" ref="P42" ca="1">IF(isDataRow,テーブル定義コード_データ行,IF(isTermRow,テーブル定義コード_番兵行,IF(isCloseRow,テーブル定義コード_最終行,"")))</f>
        <v/>
      </c>
    </row>
    <row r="43" spans="1:16">
      <c r="A43" s="19"/>
      <c r="B43" s="19"/>
      <c r="C43" s="19"/>
      <c r="D43" s="19"/>
      <c r="E43" s="20"/>
      <c r="F43" s="20"/>
      <c r="G43" s="19"/>
      <c r="H43" s="19"/>
      <c r="I43" s="10" t="str" cm="1">
        <f t="array" aca="1" ref="I43" ca="1">IF(isEmptyRow,"",F_code)</f>
        <v/>
      </c>
      <c r="J43" s="10" t="str" cm="1">
        <f t="array" aca="1" ref="J43" ca="1">IF(isEmptyRow,"",INDIRECT("C"&amp;ROW())*INDIRECT("D"&amp;ROW()))</f>
        <v/>
      </c>
      <c r="K43" s="10" t="str" cm="1">
        <f t="array" aca="1" ref="K43" ca="1">IF(isEmptyRow,"",J43*2)</f>
        <v/>
      </c>
      <c r="L43" s="10" t="str" cm="1">
        <f t="array" aca="1" ref="L43" ca="1">IF(isEmptyRow,"",F_offset)</f>
        <v/>
      </c>
      <c r="M43" s="11" t="str" cm="1">
        <f t="array" aca="1" ref="M43" ca="1">IF(isEmptyRow,"",F_address)</f>
        <v/>
      </c>
      <c r="N43" s="15" cm="1">
        <f t="array" aca="1" ref="N43" ca="1">F_残</f>
        <v>158</v>
      </c>
      <c r="P43" t="str" cm="1">
        <f t="array" aca="1" ref="P43" ca="1">IF(isDataRow,テーブル定義コード_データ行,IF(isTermRow,テーブル定義コード_番兵行,IF(isCloseRow,テーブル定義コード_最終行,"")))</f>
        <v/>
      </c>
    </row>
    <row r="44" spans="1:16">
      <c r="A44" s="19"/>
      <c r="B44" s="19"/>
      <c r="C44" s="19"/>
      <c r="D44" s="19"/>
      <c r="E44" s="20"/>
      <c r="F44" s="20"/>
      <c r="G44" s="19"/>
      <c r="H44" s="19"/>
      <c r="I44" s="10" t="str" cm="1">
        <f t="array" aca="1" ref="I44" ca="1">IF(isEmptyRow,"",F_code)</f>
        <v/>
      </c>
      <c r="J44" s="10" t="str" cm="1">
        <f t="array" aca="1" ref="J44" ca="1">IF(isEmptyRow,"",INDIRECT("C"&amp;ROW())*INDIRECT("D"&amp;ROW()))</f>
        <v/>
      </c>
      <c r="K44" s="10" t="str" cm="1">
        <f t="array" aca="1" ref="K44" ca="1">IF(isEmptyRow,"",J44*2)</f>
        <v/>
      </c>
      <c r="L44" s="10" t="str" cm="1">
        <f t="array" aca="1" ref="L44" ca="1">IF(isEmptyRow,"",F_offset)</f>
        <v/>
      </c>
      <c r="M44" s="11" t="str" cm="1">
        <f t="array" aca="1" ref="M44" ca="1">IF(isEmptyRow,"",F_address)</f>
        <v/>
      </c>
      <c r="N44" s="15" cm="1">
        <f t="array" aca="1" ref="N44" ca="1">F_残</f>
        <v>158</v>
      </c>
      <c r="P44" t="str" cm="1">
        <f t="array" aca="1" ref="P44" ca="1">IF(isDataRow,テーブル定義コード_データ行,IF(isTermRow,テーブル定義コード_番兵行,IF(isCloseRow,テーブル定義コード_最終行,"")))</f>
        <v/>
      </c>
    </row>
    <row r="45" spans="1:16">
      <c r="A45" s="19"/>
      <c r="B45" s="19"/>
      <c r="C45" s="19"/>
      <c r="D45" s="19"/>
      <c r="E45" s="20"/>
      <c r="F45" s="20"/>
      <c r="G45" s="19"/>
      <c r="H45" s="19"/>
      <c r="I45" s="10" t="str" cm="1">
        <f t="array" aca="1" ref="I45" ca="1">IF(isEmptyRow,"",F_code)</f>
        <v/>
      </c>
      <c r="J45" s="10" t="str" cm="1">
        <f t="array" aca="1" ref="J45" ca="1">IF(isEmptyRow,"",INDIRECT("C"&amp;ROW())*INDIRECT("D"&amp;ROW()))</f>
        <v/>
      </c>
      <c r="K45" s="10" t="str" cm="1">
        <f t="array" aca="1" ref="K45" ca="1">IF(isEmptyRow,"",J45*2)</f>
        <v/>
      </c>
      <c r="L45" s="10" t="str" cm="1">
        <f t="array" aca="1" ref="L45" ca="1">IF(isEmptyRow,"",F_offset)</f>
        <v/>
      </c>
      <c r="M45" s="11" t="str" cm="1">
        <f t="array" aca="1" ref="M45" ca="1">IF(isEmptyRow,"",F_address)</f>
        <v/>
      </c>
      <c r="N45" s="15" cm="1">
        <f t="array" aca="1" ref="N45" ca="1">F_残</f>
        <v>158</v>
      </c>
      <c r="P45" t="str" cm="1">
        <f t="array" aca="1" ref="P45" ca="1">IF(isDataRow,テーブル定義コード_データ行,IF(isTermRow,テーブル定義コード_番兵行,IF(isCloseRow,テーブル定義コード_最終行,"")))</f>
        <v/>
      </c>
    </row>
    <row r="46" spans="1:16">
      <c r="A46" s="19"/>
      <c r="B46" s="19"/>
      <c r="C46" s="19"/>
      <c r="D46" s="19"/>
      <c r="E46" s="20"/>
      <c r="F46" s="20"/>
      <c r="G46" s="19"/>
      <c r="H46" s="19"/>
      <c r="I46" s="10" t="str" cm="1">
        <f t="array" aca="1" ref="I46" ca="1">IF(isEmptyRow,"",F_code)</f>
        <v/>
      </c>
      <c r="J46" s="10" t="str" cm="1">
        <f t="array" aca="1" ref="J46" ca="1">IF(isEmptyRow,"",INDIRECT("C"&amp;ROW())*INDIRECT("D"&amp;ROW()))</f>
        <v/>
      </c>
      <c r="K46" s="10" t="str" cm="1">
        <f t="array" aca="1" ref="K46" ca="1">IF(isEmptyRow,"",J46*2)</f>
        <v/>
      </c>
      <c r="L46" s="10" t="str" cm="1">
        <f t="array" aca="1" ref="L46" ca="1">IF(isEmptyRow,"",F_offset)</f>
        <v/>
      </c>
      <c r="M46" s="11" t="str" cm="1">
        <f t="array" aca="1" ref="M46" ca="1">IF(isEmptyRow,"",F_address)</f>
        <v/>
      </c>
      <c r="N46" s="15" cm="1">
        <f t="array" aca="1" ref="N46" ca="1">F_残</f>
        <v>158</v>
      </c>
      <c r="P46" t="str" cm="1">
        <f t="array" aca="1" ref="P46" ca="1">IF(isDataRow,テーブル定義コード_データ行,IF(isTermRow,テーブル定義コード_番兵行,IF(isCloseRow,テーブル定義コード_最終行,"")))</f>
        <v/>
      </c>
    </row>
    <row r="47" spans="1:16">
      <c r="A47" s="19"/>
      <c r="B47" s="19"/>
      <c r="C47" s="19"/>
      <c r="D47" s="19"/>
      <c r="E47" s="20"/>
      <c r="F47" s="20"/>
      <c r="G47" s="19"/>
      <c r="H47" s="19"/>
      <c r="I47" s="10" t="str" cm="1">
        <f t="array" aca="1" ref="I47" ca="1">IF(isEmptyRow,"",F_code)</f>
        <v/>
      </c>
      <c r="J47" s="10" t="str" cm="1">
        <f t="array" aca="1" ref="J47" ca="1">IF(isEmptyRow,"",INDIRECT("C"&amp;ROW())*INDIRECT("D"&amp;ROW()))</f>
        <v/>
      </c>
      <c r="K47" s="10" t="str" cm="1">
        <f t="array" aca="1" ref="K47" ca="1">IF(isEmptyRow,"",J47*2)</f>
        <v/>
      </c>
      <c r="L47" s="10" t="str" cm="1">
        <f t="array" aca="1" ref="L47" ca="1">IF(isEmptyRow,"",F_offset)</f>
        <v/>
      </c>
      <c r="M47" s="11" t="str" cm="1">
        <f t="array" aca="1" ref="M47" ca="1">IF(isEmptyRow,"",F_address)</f>
        <v/>
      </c>
      <c r="N47" s="15" cm="1">
        <f t="array" aca="1" ref="N47" ca="1">F_残</f>
        <v>158</v>
      </c>
      <c r="P47" t="str" cm="1">
        <f t="array" aca="1" ref="P47" ca="1">IF(isDataRow,テーブル定義コード_データ行,IF(isTermRow,テーブル定義コード_番兵行,IF(isCloseRow,テーブル定義コード_最終行,"")))</f>
        <v/>
      </c>
    </row>
    <row r="48" spans="1:16">
      <c r="A48" s="19"/>
      <c r="B48" s="19"/>
      <c r="C48" s="19"/>
      <c r="D48" s="19"/>
      <c r="E48" s="20"/>
      <c r="F48" s="20"/>
      <c r="G48" s="19"/>
      <c r="H48" s="19"/>
      <c r="I48" s="10" t="str" cm="1">
        <f t="array" aca="1" ref="I48" ca="1">IF(isEmptyRow,"",F_code)</f>
        <v/>
      </c>
      <c r="J48" s="10" t="str" cm="1">
        <f t="array" aca="1" ref="J48" ca="1">IF(isEmptyRow,"",INDIRECT("C"&amp;ROW())*INDIRECT("D"&amp;ROW()))</f>
        <v/>
      </c>
      <c r="K48" s="10" t="str" cm="1">
        <f t="array" aca="1" ref="K48" ca="1">IF(isEmptyRow,"",J48*2)</f>
        <v/>
      </c>
      <c r="L48" s="10" t="str" cm="1">
        <f t="array" aca="1" ref="L48" ca="1">IF(isEmptyRow,"",F_offset)</f>
        <v/>
      </c>
      <c r="M48" s="11" t="str" cm="1">
        <f t="array" aca="1" ref="M48" ca="1">IF(isEmptyRow,"",F_address)</f>
        <v/>
      </c>
      <c r="N48" s="15" cm="1">
        <f t="array" aca="1" ref="N48" ca="1">F_残</f>
        <v>158</v>
      </c>
      <c r="P48" t="str" cm="1">
        <f t="array" aca="1" ref="P48" ca="1">IF(isDataRow,テーブル定義コード_データ行,IF(isTermRow,テーブル定義コード_番兵行,IF(isCloseRow,テーブル定義コード_最終行,"")))</f>
        <v/>
      </c>
    </row>
    <row r="49" spans="1:16">
      <c r="A49" s="19"/>
      <c r="B49" s="19"/>
      <c r="C49" s="19"/>
      <c r="D49" s="19"/>
      <c r="E49" s="20"/>
      <c r="F49" s="20"/>
      <c r="G49" s="19"/>
      <c r="H49" s="19"/>
      <c r="I49" s="10" t="str" cm="1">
        <f t="array" aca="1" ref="I49" ca="1">IF(isEmptyRow,"",F_code)</f>
        <v/>
      </c>
      <c r="J49" s="10" t="str" cm="1">
        <f t="array" aca="1" ref="J49" ca="1">IF(isEmptyRow,"",INDIRECT("C"&amp;ROW())*INDIRECT("D"&amp;ROW()))</f>
        <v/>
      </c>
      <c r="K49" s="10" t="str" cm="1">
        <f t="array" aca="1" ref="K49" ca="1">IF(isEmptyRow,"",J49*2)</f>
        <v/>
      </c>
      <c r="L49" s="10" t="str" cm="1">
        <f t="array" aca="1" ref="L49" ca="1">IF(isEmptyRow,"",F_offset)</f>
        <v/>
      </c>
      <c r="M49" s="11" t="str" cm="1">
        <f t="array" aca="1" ref="M49" ca="1">IF(isEmptyRow,"",F_address)</f>
        <v/>
      </c>
      <c r="N49" s="15" cm="1">
        <f t="array" aca="1" ref="N49" ca="1">F_残</f>
        <v>158</v>
      </c>
      <c r="P49" t="str" cm="1">
        <f t="array" aca="1" ref="P49" ca="1">IF(isDataRow,テーブル定義コード_データ行,IF(isTermRow,テーブル定義コード_番兵行,IF(isCloseRow,テーブル定義コード_最終行,"")))</f>
        <v/>
      </c>
    </row>
    <row r="50" spans="1:16">
      <c r="A50" s="19"/>
      <c r="B50" s="19"/>
      <c r="C50" s="19"/>
      <c r="D50" s="19"/>
      <c r="E50" s="20"/>
      <c r="F50" s="20"/>
      <c r="G50" s="19"/>
      <c r="H50" s="19"/>
      <c r="I50" s="10" t="str" cm="1">
        <f t="array" aca="1" ref="I50" ca="1">IF(isEmptyRow,"",F_code)</f>
        <v/>
      </c>
      <c r="J50" s="10" t="str" cm="1">
        <f t="array" aca="1" ref="J50" ca="1">IF(isEmptyRow,"",INDIRECT("C"&amp;ROW())*INDIRECT("D"&amp;ROW()))</f>
        <v/>
      </c>
      <c r="K50" s="10" t="str" cm="1">
        <f t="array" aca="1" ref="K50" ca="1">IF(isEmptyRow,"",J50*2)</f>
        <v/>
      </c>
      <c r="L50" s="10" t="str" cm="1">
        <f t="array" aca="1" ref="L50" ca="1">IF(isEmptyRow,"",F_offset)</f>
        <v/>
      </c>
      <c r="M50" s="11" t="str" cm="1">
        <f t="array" aca="1" ref="M50" ca="1">IF(isEmptyRow,"",F_address)</f>
        <v/>
      </c>
      <c r="N50" s="15" cm="1">
        <f t="array" aca="1" ref="N50" ca="1">F_残</f>
        <v>158</v>
      </c>
      <c r="P50" t="str" cm="1">
        <f t="array" aca="1" ref="P50" ca="1">IF(isDataRow,テーブル定義コード_データ行,IF(isTermRow,テーブル定義コード_番兵行,IF(isCloseRow,テーブル定義コード_最終行,"")))</f>
        <v/>
      </c>
    </row>
    <row r="51" spans="1:16">
      <c r="A51" s="19"/>
      <c r="B51" s="19"/>
      <c r="C51" s="19"/>
      <c r="D51" s="19"/>
      <c r="E51" s="20"/>
      <c r="F51" s="20"/>
      <c r="G51" s="19"/>
      <c r="H51" s="19"/>
      <c r="I51" s="10" t="str" cm="1">
        <f t="array" aca="1" ref="I51" ca="1">IF(isEmptyRow,"",F_code)</f>
        <v/>
      </c>
      <c r="J51" s="10" t="str" cm="1">
        <f t="array" aca="1" ref="J51" ca="1">IF(isEmptyRow,"",INDIRECT("C"&amp;ROW())*INDIRECT("D"&amp;ROW()))</f>
        <v/>
      </c>
      <c r="K51" s="10" t="str" cm="1">
        <f t="array" aca="1" ref="K51" ca="1">IF(isEmptyRow,"",J51*2)</f>
        <v/>
      </c>
      <c r="L51" s="10" t="str" cm="1">
        <f t="array" aca="1" ref="L51" ca="1">IF(isEmptyRow,"",F_offset)</f>
        <v/>
      </c>
      <c r="M51" s="11" t="str" cm="1">
        <f t="array" aca="1" ref="M51" ca="1">IF(isEmptyRow,"",F_address)</f>
        <v/>
      </c>
      <c r="N51" s="15" cm="1">
        <f t="array" aca="1" ref="N51" ca="1">F_残</f>
        <v>158</v>
      </c>
      <c r="P51" t="str" cm="1">
        <f t="array" aca="1" ref="P51" ca="1">IF(isDataRow,テーブル定義コード_データ行,IF(isTermRow,テーブル定義コード_番兵行,IF(isCloseRow,テーブル定義コード_最終行,"")))</f>
        <v/>
      </c>
    </row>
    <row r="52" spans="1:16">
      <c r="A52" s="19"/>
      <c r="B52" s="19"/>
      <c r="C52" s="19"/>
      <c r="D52" s="19"/>
      <c r="E52" s="20"/>
      <c r="F52" s="20"/>
      <c r="G52" s="19"/>
      <c r="H52" s="19"/>
      <c r="I52" s="10" t="str" cm="1">
        <f t="array" aca="1" ref="I52" ca="1">IF(isEmptyRow,"",F_code)</f>
        <v/>
      </c>
      <c r="J52" s="10" t="str" cm="1">
        <f t="array" aca="1" ref="J52" ca="1">IF(isEmptyRow,"",INDIRECT("C"&amp;ROW())*INDIRECT("D"&amp;ROW()))</f>
        <v/>
      </c>
      <c r="K52" s="10" t="str" cm="1">
        <f t="array" aca="1" ref="K52" ca="1">IF(isEmptyRow,"",J52*2)</f>
        <v/>
      </c>
      <c r="L52" s="10" t="str" cm="1">
        <f t="array" aca="1" ref="L52" ca="1">IF(isEmptyRow,"",F_offset)</f>
        <v/>
      </c>
      <c r="M52" s="11" t="str" cm="1">
        <f t="array" aca="1" ref="M52" ca="1">IF(isEmptyRow,"",F_address)</f>
        <v/>
      </c>
      <c r="N52" s="15" cm="1">
        <f t="array" aca="1" ref="N52" ca="1">F_残</f>
        <v>158</v>
      </c>
      <c r="P52" t="str" cm="1">
        <f t="array" aca="1" ref="P52" ca="1">IF(isDataRow,テーブル定義コード_データ行,IF(isTermRow,テーブル定義コード_番兵行,IF(isCloseRow,テーブル定義コード_最終行,"")))</f>
        <v/>
      </c>
    </row>
    <row r="53" spans="1:16">
      <c r="A53" s="19"/>
      <c r="B53" s="19"/>
      <c r="C53" s="19"/>
      <c r="D53" s="19"/>
      <c r="E53" s="20"/>
      <c r="F53" s="20"/>
      <c r="G53" s="19"/>
      <c r="H53" s="19"/>
      <c r="I53" s="10" t="str" cm="1">
        <f t="array" aca="1" ref="I53" ca="1">IF(isEmptyRow,"",F_code)</f>
        <v/>
      </c>
      <c r="J53" s="10" t="str" cm="1">
        <f t="array" aca="1" ref="J53" ca="1">IF(isEmptyRow,"",INDIRECT("C"&amp;ROW())*INDIRECT("D"&amp;ROW()))</f>
        <v/>
      </c>
      <c r="K53" s="10" t="str" cm="1">
        <f t="array" aca="1" ref="K53" ca="1">IF(isEmptyRow,"",J53*2)</f>
        <v/>
      </c>
      <c r="L53" s="10" t="str" cm="1">
        <f t="array" aca="1" ref="L53" ca="1">IF(isEmptyRow,"",F_offset)</f>
        <v/>
      </c>
      <c r="M53" s="11" t="str" cm="1">
        <f t="array" aca="1" ref="M53" ca="1">IF(isEmptyRow,"",F_address)</f>
        <v/>
      </c>
      <c r="N53" s="15" cm="1">
        <f t="array" aca="1" ref="N53" ca="1">F_残</f>
        <v>158</v>
      </c>
      <c r="P53" t="str" cm="1">
        <f t="array" aca="1" ref="P53" ca="1">IF(isDataRow,テーブル定義コード_データ行,IF(isTermRow,テーブル定義コード_番兵行,IF(isCloseRow,テーブル定義コード_最終行,"")))</f>
        <v/>
      </c>
    </row>
    <row r="54" spans="1:16">
      <c r="A54" s="19"/>
      <c r="B54" s="19"/>
      <c r="C54" s="19"/>
      <c r="D54" s="19"/>
      <c r="E54" s="20"/>
      <c r="F54" s="20"/>
      <c r="G54" s="19"/>
      <c r="H54" s="19"/>
      <c r="I54" s="10" t="str" cm="1">
        <f t="array" aca="1" ref="I54" ca="1">IF(isEmptyRow,"",F_code)</f>
        <v/>
      </c>
      <c r="J54" s="10" t="str" cm="1">
        <f t="array" aca="1" ref="J54" ca="1">IF(isEmptyRow,"",INDIRECT("C"&amp;ROW())*INDIRECT("D"&amp;ROW()))</f>
        <v/>
      </c>
      <c r="K54" s="10" t="str" cm="1">
        <f t="array" aca="1" ref="K54" ca="1">IF(isEmptyRow,"",J54*2)</f>
        <v/>
      </c>
      <c r="L54" s="10" t="str" cm="1">
        <f t="array" aca="1" ref="L54" ca="1">IF(isEmptyRow,"",F_offset)</f>
        <v/>
      </c>
      <c r="M54" s="11" t="str" cm="1">
        <f t="array" aca="1" ref="M54" ca="1">IF(isEmptyRow,"",F_address)</f>
        <v/>
      </c>
      <c r="N54" s="15" cm="1">
        <f t="array" aca="1" ref="N54" ca="1">F_残</f>
        <v>158</v>
      </c>
      <c r="P54" t="str" cm="1">
        <f t="array" aca="1" ref="P54" ca="1">IF(isDataRow,テーブル定義コード_データ行,IF(isTermRow,テーブル定義コード_番兵行,IF(isCloseRow,テーブル定義コード_最終行,"")))</f>
        <v/>
      </c>
    </row>
    <row r="55" spans="1:16">
      <c r="A55" s="19"/>
      <c r="B55" s="19"/>
      <c r="C55" s="19"/>
      <c r="D55" s="19"/>
      <c r="E55" s="20"/>
      <c r="F55" s="20"/>
      <c r="G55" s="19"/>
      <c r="H55" s="19"/>
      <c r="I55" s="10" t="str" cm="1">
        <f t="array" aca="1" ref="I55" ca="1">IF(isEmptyRow,"",F_code)</f>
        <v/>
      </c>
      <c r="J55" s="10" t="str" cm="1">
        <f t="array" aca="1" ref="J55" ca="1">IF(isEmptyRow,"",INDIRECT("C"&amp;ROW())*INDIRECT("D"&amp;ROW()))</f>
        <v/>
      </c>
      <c r="K55" s="10" t="str" cm="1">
        <f t="array" aca="1" ref="K55" ca="1">IF(isEmptyRow,"",J55*2)</f>
        <v/>
      </c>
      <c r="L55" s="10" t="str" cm="1">
        <f t="array" aca="1" ref="L55" ca="1">IF(isEmptyRow,"",F_offset)</f>
        <v/>
      </c>
      <c r="M55" s="11" t="str" cm="1">
        <f t="array" aca="1" ref="M55" ca="1">IF(isEmptyRow,"",F_address)</f>
        <v/>
      </c>
      <c r="N55" s="15" cm="1">
        <f t="array" aca="1" ref="N55" ca="1">F_残</f>
        <v>158</v>
      </c>
      <c r="P55" t="str" cm="1">
        <f t="array" aca="1" ref="P55" ca="1">IF(isDataRow,テーブル定義コード_データ行,IF(isTermRow,テーブル定義コード_番兵行,IF(isCloseRow,テーブル定義コード_最終行,"")))</f>
        <v/>
      </c>
    </row>
    <row r="56" spans="1:16">
      <c r="A56" s="19"/>
      <c r="B56" s="19"/>
      <c r="C56" s="19"/>
      <c r="D56" s="19"/>
      <c r="E56" s="20"/>
      <c r="F56" s="20"/>
      <c r="G56" s="19"/>
      <c r="H56" s="19"/>
      <c r="I56" s="10" t="str" cm="1">
        <f t="array" aca="1" ref="I56" ca="1">IF(isEmptyRow,"",F_code)</f>
        <v/>
      </c>
      <c r="J56" s="10" t="str" cm="1">
        <f t="array" aca="1" ref="J56" ca="1">IF(isEmptyRow,"",INDIRECT("C"&amp;ROW())*INDIRECT("D"&amp;ROW()))</f>
        <v/>
      </c>
      <c r="K56" s="10" t="str" cm="1">
        <f t="array" aca="1" ref="K56" ca="1">IF(isEmptyRow,"",J56*2)</f>
        <v/>
      </c>
      <c r="L56" s="10" t="str" cm="1">
        <f t="array" aca="1" ref="L56" ca="1">IF(isEmptyRow,"",F_offset)</f>
        <v/>
      </c>
      <c r="M56" s="11" t="str" cm="1">
        <f t="array" aca="1" ref="M56" ca="1">IF(isEmptyRow,"",F_address)</f>
        <v/>
      </c>
      <c r="N56" s="15" cm="1">
        <f t="array" aca="1" ref="N56" ca="1">F_残</f>
        <v>158</v>
      </c>
      <c r="P56" t="str" cm="1">
        <f t="array" aca="1" ref="P56" ca="1">IF(isDataRow,テーブル定義コード_データ行,IF(isTermRow,テーブル定義コード_番兵行,IF(isCloseRow,テーブル定義コード_最終行,"")))</f>
        <v/>
      </c>
    </row>
    <row r="57" spans="1:16">
      <c r="A57" s="19"/>
      <c r="B57" s="19"/>
      <c r="C57" s="19"/>
      <c r="D57" s="19"/>
      <c r="E57" s="20"/>
      <c r="F57" s="20"/>
      <c r="G57" s="19"/>
      <c r="H57" s="19"/>
      <c r="I57" s="10" t="str" cm="1">
        <f t="array" aca="1" ref="I57" ca="1">IF(isEmptyRow,"",F_code)</f>
        <v/>
      </c>
      <c r="J57" s="10" t="str" cm="1">
        <f t="array" aca="1" ref="J57" ca="1">IF(isEmptyRow,"",INDIRECT("C"&amp;ROW())*INDIRECT("D"&amp;ROW()))</f>
        <v/>
      </c>
      <c r="K57" s="10" t="str" cm="1">
        <f t="array" aca="1" ref="K57" ca="1">IF(isEmptyRow,"",J57*2)</f>
        <v/>
      </c>
      <c r="L57" s="10" t="str" cm="1">
        <f t="array" aca="1" ref="L57" ca="1">IF(isEmptyRow,"",F_offset)</f>
        <v/>
      </c>
      <c r="M57" s="11" t="str" cm="1">
        <f t="array" aca="1" ref="M57" ca="1">IF(isEmptyRow,"",F_address)</f>
        <v/>
      </c>
      <c r="N57" s="15" cm="1">
        <f t="array" aca="1" ref="N57" ca="1">F_残</f>
        <v>158</v>
      </c>
      <c r="P57" t="str" cm="1">
        <f t="array" aca="1" ref="P57" ca="1">IF(isDataRow,テーブル定義コード_データ行,IF(isTermRow,テーブル定義コード_番兵行,IF(isCloseRow,テーブル定義コード_最終行,"")))</f>
        <v/>
      </c>
    </row>
    <row r="58" spans="1:16">
      <c r="A58" s="19"/>
      <c r="B58" s="19"/>
      <c r="C58" s="19"/>
      <c r="D58" s="19"/>
      <c r="E58" s="20"/>
      <c r="F58" s="20"/>
      <c r="G58" s="19"/>
      <c r="H58" s="19"/>
      <c r="I58" s="10" t="str" cm="1">
        <f t="array" aca="1" ref="I58" ca="1">IF(isEmptyRow,"",F_code)</f>
        <v/>
      </c>
      <c r="J58" s="10" t="str" cm="1">
        <f t="array" aca="1" ref="J58" ca="1">IF(isEmptyRow,"",INDIRECT("C"&amp;ROW())*INDIRECT("D"&amp;ROW()))</f>
        <v/>
      </c>
      <c r="K58" s="10" t="str" cm="1">
        <f t="array" aca="1" ref="K58" ca="1">IF(isEmptyRow,"",J58*2)</f>
        <v/>
      </c>
      <c r="L58" s="10" t="str" cm="1">
        <f t="array" aca="1" ref="L58" ca="1">IF(isEmptyRow,"",F_offset)</f>
        <v/>
      </c>
      <c r="M58" s="11" t="str" cm="1">
        <f t="array" aca="1" ref="M58" ca="1">IF(isEmptyRow,"",F_address)</f>
        <v/>
      </c>
      <c r="N58" s="15" cm="1">
        <f t="array" aca="1" ref="N58" ca="1">F_残</f>
        <v>158</v>
      </c>
      <c r="P58" t="str" cm="1">
        <f t="array" aca="1" ref="P58" ca="1">IF(isDataRow,テーブル定義コード_データ行,IF(isTermRow,テーブル定義コード_番兵行,IF(isCloseRow,テーブル定義コード_最終行,"")))</f>
        <v/>
      </c>
    </row>
    <row r="59" spans="1:16">
      <c r="A59" s="19"/>
      <c r="B59" s="19"/>
      <c r="C59" s="19"/>
      <c r="D59" s="19"/>
      <c r="E59" s="20"/>
      <c r="F59" s="20"/>
      <c r="G59" s="19"/>
      <c r="H59" s="19"/>
      <c r="I59" s="10" t="str" cm="1">
        <f t="array" aca="1" ref="I59" ca="1">IF(isEmptyRow,"",F_code)</f>
        <v/>
      </c>
      <c r="J59" s="10" t="str" cm="1">
        <f t="array" aca="1" ref="J59" ca="1">IF(isEmptyRow,"",INDIRECT("C"&amp;ROW())*INDIRECT("D"&amp;ROW()))</f>
        <v/>
      </c>
      <c r="K59" s="10" t="str" cm="1">
        <f t="array" aca="1" ref="K59" ca="1">IF(isEmptyRow,"",J59*2)</f>
        <v/>
      </c>
      <c r="L59" s="10" t="str" cm="1">
        <f t="array" aca="1" ref="L59" ca="1">IF(isEmptyRow,"",F_offset)</f>
        <v/>
      </c>
      <c r="M59" s="11" t="str" cm="1">
        <f t="array" aca="1" ref="M59" ca="1">IF(isEmptyRow,"",F_address)</f>
        <v/>
      </c>
      <c r="N59" s="15" cm="1">
        <f t="array" aca="1" ref="N59" ca="1">F_残</f>
        <v>158</v>
      </c>
      <c r="P59" t="str" cm="1">
        <f t="array" aca="1" ref="P59" ca="1">IF(isDataRow,テーブル定義コード_データ行,IF(isTermRow,テーブル定義コード_番兵行,IF(isCloseRow,テーブル定義コード_最終行,"")))</f>
        <v/>
      </c>
    </row>
    <row r="60" spans="1:16">
      <c r="A60" s="19"/>
      <c r="B60" s="19"/>
      <c r="C60" s="19"/>
      <c r="D60" s="19"/>
      <c r="E60" s="20"/>
      <c r="F60" s="20"/>
      <c r="G60" s="19"/>
      <c r="H60" s="19"/>
      <c r="I60" s="10" t="str" cm="1">
        <f t="array" aca="1" ref="I60" ca="1">IF(isEmptyRow,"",F_code)</f>
        <v/>
      </c>
      <c r="J60" s="10" t="str" cm="1">
        <f t="array" aca="1" ref="J60" ca="1">IF(isEmptyRow,"",INDIRECT("C"&amp;ROW())*INDIRECT("D"&amp;ROW()))</f>
        <v/>
      </c>
      <c r="K60" s="10" t="str" cm="1">
        <f t="array" aca="1" ref="K60" ca="1">IF(isEmptyRow,"",J60*2)</f>
        <v/>
      </c>
      <c r="L60" s="10" t="str" cm="1">
        <f t="array" aca="1" ref="L60" ca="1">IF(isEmptyRow,"",F_offset)</f>
        <v/>
      </c>
      <c r="M60" s="11" t="str" cm="1">
        <f t="array" aca="1" ref="M60" ca="1">IF(isEmptyRow,"",F_address)</f>
        <v/>
      </c>
      <c r="N60" s="15" cm="1">
        <f t="array" aca="1" ref="N60" ca="1">F_残</f>
        <v>158</v>
      </c>
      <c r="P60" t="str" cm="1">
        <f t="array" aca="1" ref="P60" ca="1">IF(isDataRow,テーブル定義コード_データ行,IF(isTermRow,テーブル定義コード_番兵行,IF(isCloseRow,テーブル定義コード_最終行,"")))</f>
        <v/>
      </c>
    </row>
    <row r="61" spans="1:16">
      <c r="A61" s="19"/>
      <c r="B61" s="19"/>
      <c r="C61" s="19"/>
      <c r="D61" s="19"/>
      <c r="E61" s="20"/>
      <c r="F61" s="20"/>
      <c r="G61" s="19"/>
      <c r="H61" s="19"/>
      <c r="I61" s="10" t="str" cm="1">
        <f t="array" aca="1" ref="I61" ca="1">IF(isEmptyRow,"",F_code)</f>
        <v/>
      </c>
      <c r="J61" s="10" t="str" cm="1">
        <f t="array" aca="1" ref="J61" ca="1">IF(isEmptyRow,"",INDIRECT("C"&amp;ROW())*INDIRECT("D"&amp;ROW()))</f>
        <v/>
      </c>
      <c r="K61" s="10" t="str" cm="1">
        <f t="array" aca="1" ref="K61" ca="1">IF(isEmptyRow,"",J61*2)</f>
        <v/>
      </c>
      <c r="L61" s="10" t="str" cm="1">
        <f t="array" aca="1" ref="L61" ca="1">IF(isEmptyRow,"",F_offset)</f>
        <v/>
      </c>
      <c r="M61" s="11" t="str" cm="1">
        <f t="array" aca="1" ref="M61" ca="1">IF(isEmptyRow,"",F_address)</f>
        <v/>
      </c>
      <c r="N61" s="15" cm="1">
        <f t="array" aca="1" ref="N61" ca="1">F_残</f>
        <v>158</v>
      </c>
      <c r="P61" t="str" cm="1">
        <f t="array" aca="1" ref="P61" ca="1">IF(isDataRow,テーブル定義コード_データ行,IF(isTermRow,テーブル定義コード_番兵行,IF(isCloseRow,テーブル定義コード_最終行,"")))</f>
        <v/>
      </c>
    </row>
    <row r="62" spans="1:16">
      <c r="A62" s="19"/>
      <c r="B62" s="19"/>
      <c r="C62" s="19"/>
      <c r="D62" s="19"/>
      <c r="E62" s="20"/>
      <c r="F62" s="20"/>
      <c r="G62" s="19"/>
      <c r="H62" s="19"/>
      <c r="I62" s="10" t="str" cm="1">
        <f t="array" aca="1" ref="I62" ca="1">IF(isEmptyRow,"",F_code)</f>
        <v/>
      </c>
      <c r="J62" s="10" t="str" cm="1">
        <f t="array" aca="1" ref="J62" ca="1">IF(isEmptyRow,"",INDIRECT("C"&amp;ROW())*INDIRECT("D"&amp;ROW()))</f>
        <v/>
      </c>
      <c r="K62" s="10" t="str" cm="1">
        <f t="array" aca="1" ref="K62" ca="1">IF(isEmptyRow,"",J62*2)</f>
        <v/>
      </c>
      <c r="L62" s="10" t="str" cm="1">
        <f t="array" aca="1" ref="L62" ca="1">IF(isEmptyRow,"",F_offset)</f>
        <v/>
      </c>
      <c r="M62" s="11" t="str" cm="1">
        <f t="array" aca="1" ref="M62" ca="1">IF(isEmptyRow,"",F_address)</f>
        <v/>
      </c>
      <c r="N62" s="15" cm="1">
        <f t="array" aca="1" ref="N62" ca="1">F_残</f>
        <v>158</v>
      </c>
      <c r="P62" t="str" cm="1">
        <f t="array" aca="1" ref="P62" ca="1">IF(isDataRow,テーブル定義コード_データ行,IF(isTermRow,テーブル定義コード_番兵行,IF(isCloseRow,テーブル定義コード_最終行,"")))</f>
        <v/>
      </c>
    </row>
    <row r="63" spans="1:16">
      <c r="A63" s="19"/>
      <c r="B63" s="19"/>
      <c r="C63" s="19"/>
      <c r="D63" s="19"/>
      <c r="E63" s="20"/>
      <c r="F63" s="20"/>
      <c r="G63" s="19"/>
      <c r="H63" s="19"/>
      <c r="I63" s="10" t="str" cm="1">
        <f t="array" aca="1" ref="I63" ca="1">IF(isEmptyRow,"",F_code)</f>
        <v/>
      </c>
      <c r="J63" s="10" t="str" cm="1">
        <f t="array" aca="1" ref="J63" ca="1">IF(isEmptyRow,"",INDIRECT("C"&amp;ROW())*INDIRECT("D"&amp;ROW()))</f>
        <v/>
      </c>
      <c r="K63" s="10" t="str" cm="1">
        <f t="array" aca="1" ref="K63" ca="1">IF(isEmptyRow,"",J63*2)</f>
        <v/>
      </c>
      <c r="L63" s="10" t="str" cm="1">
        <f t="array" aca="1" ref="L63" ca="1">IF(isEmptyRow,"",F_offset)</f>
        <v/>
      </c>
      <c r="M63" s="11" t="str" cm="1">
        <f t="array" aca="1" ref="M63" ca="1">IF(isEmptyRow,"",F_address)</f>
        <v/>
      </c>
      <c r="N63" s="15" cm="1">
        <f t="array" aca="1" ref="N63" ca="1">F_残</f>
        <v>158</v>
      </c>
      <c r="P63" t="str" cm="1">
        <f t="array" aca="1" ref="P63" ca="1">IF(isDataRow,テーブル定義コード_データ行,IF(isTermRow,テーブル定義コード_番兵行,IF(isCloseRow,テーブル定義コード_最終行,"")))</f>
        <v/>
      </c>
    </row>
    <row r="64" spans="1:16">
      <c r="A64" s="19"/>
      <c r="B64" s="19"/>
      <c r="C64" s="19"/>
      <c r="D64" s="19"/>
      <c r="E64" s="20"/>
      <c r="F64" s="20"/>
      <c r="G64" s="19"/>
      <c r="H64" s="19"/>
      <c r="I64" s="10" t="str" cm="1">
        <f t="array" aca="1" ref="I64" ca="1">IF(isEmptyRow,"",F_code)</f>
        <v/>
      </c>
      <c r="J64" s="10" t="str" cm="1">
        <f t="array" aca="1" ref="J64" ca="1">IF(isEmptyRow,"",INDIRECT("C"&amp;ROW())*INDIRECT("D"&amp;ROW()))</f>
        <v/>
      </c>
      <c r="K64" s="10" t="str" cm="1">
        <f t="array" aca="1" ref="K64" ca="1">IF(isEmptyRow,"",J64*2)</f>
        <v/>
      </c>
      <c r="L64" s="10" t="str" cm="1">
        <f t="array" aca="1" ref="L64" ca="1">IF(isEmptyRow,"",F_offset)</f>
        <v/>
      </c>
      <c r="M64" s="11" t="str" cm="1">
        <f t="array" aca="1" ref="M64" ca="1">IF(isEmptyRow,"",F_address)</f>
        <v/>
      </c>
      <c r="N64" s="15" cm="1">
        <f t="array" aca="1" ref="N64" ca="1">F_残</f>
        <v>158</v>
      </c>
      <c r="P64" t="str" cm="1">
        <f t="array" aca="1" ref="P64" ca="1">IF(isDataRow,テーブル定義コード_データ行,IF(isTermRow,テーブル定義コード_番兵行,IF(isCloseRow,テーブル定義コード_最終行,"")))</f>
        <v/>
      </c>
    </row>
    <row r="65" spans="1:16">
      <c r="A65" s="19"/>
      <c r="B65" s="19"/>
      <c r="C65" s="19"/>
      <c r="D65" s="19"/>
      <c r="E65" s="20"/>
      <c r="F65" s="20"/>
      <c r="G65" s="19"/>
      <c r="H65" s="19"/>
      <c r="I65" s="10" t="str" cm="1">
        <f t="array" aca="1" ref="I65" ca="1">IF(isEmptyRow,"",F_code)</f>
        <v/>
      </c>
      <c r="J65" s="10" t="str" cm="1">
        <f t="array" aca="1" ref="J65" ca="1">IF(isEmptyRow,"",INDIRECT("C"&amp;ROW())*INDIRECT("D"&amp;ROW()))</f>
        <v/>
      </c>
      <c r="K65" s="10" t="str" cm="1">
        <f t="array" aca="1" ref="K65" ca="1">IF(isEmptyRow,"",J65*2)</f>
        <v/>
      </c>
      <c r="L65" s="10" t="str" cm="1">
        <f t="array" aca="1" ref="L65" ca="1">IF(isEmptyRow,"",F_offset)</f>
        <v/>
      </c>
      <c r="M65" s="11" t="str" cm="1">
        <f t="array" aca="1" ref="M65" ca="1">IF(isEmptyRow,"",F_address)</f>
        <v/>
      </c>
      <c r="N65" s="15" cm="1">
        <f t="array" aca="1" ref="N65" ca="1">F_残</f>
        <v>158</v>
      </c>
      <c r="P65" t="str" cm="1">
        <f t="array" aca="1" ref="P65" ca="1">IF(isDataRow,テーブル定義コード_データ行,IF(isTermRow,テーブル定義コード_番兵行,IF(isCloseRow,テーブル定義コード_最終行,"")))</f>
        <v/>
      </c>
    </row>
    <row r="66" spans="1:16">
      <c r="A66" s="19"/>
      <c r="B66" s="19"/>
      <c r="C66" s="19"/>
      <c r="D66" s="19"/>
      <c r="E66" s="20"/>
      <c r="F66" s="20"/>
      <c r="G66" s="19"/>
      <c r="H66" s="19"/>
      <c r="I66" s="10" t="str" cm="1">
        <f t="array" aca="1" ref="I66" ca="1">IF(isEmptyRow,"",F_code)</f>
        <v/>
      </c>
      <c r="J66" s="10" t="str" cm="1">
        <f t="array" aca="1" ref="J66" ca="1">IF(isEmptyRow,"",INDIRECT("C"&amp;ROW())*INDIRECT("D"&amp;ROW()))</f>
        <v/>
      </c>
      <c r="K66" s="10" t="str" cm="1">
        <f t="array" aca="1" ref="K66" ca="1">IF(isEmptyRow,"",J66*2)</f>
        <v/>
      </c>
      <c r="L66" s="10" t="str" cm="1">
        <f t="array" aca="1" ref="L66" ca="1">IF(isEmptyRow,"",F_offset)</f>
        <v/>
      </c>
      <c r="M66" s="11" t="str" cm="1">
        <f t="array" aca="1" ref="M66" ca="1">IF(isEmptyRow,"",F_address)</f>
        <v/>
      </c>
      <c r="N66" s="15" cm="1">
        <f t="array" aca="1" ref="N66" ca="1">F_残</f>
        <v>158</v>
      </c>
      <c r="P66" t="str" cm="1">
        <f t="array" aca="1" ref="P66" ca="1">IF(isDataRow,テーブル定義コード_データ行,IF(isTermRow,テーブル定義コード_番兵行,IF(isCloseRow,テーブル定義コード_最終行,"")))</f>
        <v/>
      </c>
    </row>
    <row r="67" spans="1:16">
      <c r="A67" s="19"/>
      <c r="B67" s="19"/>
      <c r="C67" s="19"/>
      <c r="D67" s="19"/>
      <c r="E67" s="20"/>
      <c r="F67" s="20"/>
      <c r="G67" s="19"/>
      <c r="H67" s="19"/>
      <c r="I67" s="10" t="str" cm="1">
        <f t="array" aca="1" ref="I67" ca="1">IF(isEmptyRow,"",F_code)</f>
        <v/>
      </c>
      <c r="J67" s="10" t="str" cm="1">
        <f t="array" aca="1" ref="J67" ca="1">IF(isEmptyRow,"",INDIRECT("C"&amp;ROW())*INDIRECT("D"&amp;ROW()))</f>
        <v/>
      </c>
      <c r="K67" s="10" t="str" cm="1">
        <f t="array" aca="1" ref="K67" ca="1">IF(isEmptyRow,"",J67*2)</f>
        <v/>
      </c>
      <c r="L67" s="10" t="str" cm="1">
        <f t="array" aca="1" ref="L67" ca="1">IF(isEmptyRow,"",F_offset)</f>
        <v/>
      </c>
      <c r="M67" s="11" t="str" cm="1">
        <f t="array" aca="1" ref="M67" ca="1">IF(isEmptyRow,"",F_address)</f>
        <v/>
      </c>
      <c r="N67" s="15" cm="1">
        <f t="array" aca="1" ref="N67" ca="1">F_残</f>
        <v>158</v>
      </c>
      <c r="P67" t="str" cm="1">
        <f t="array" aca="1" ref="P67" ca="1">IF(isDataRow,テーブル定義コード_データ行,IF(isTermRow,テーブル定義コード_番兵行,IF(isCloseRow,テーブル定義コード_最終行,"")))</f>
        <v/>
      </c>
    </row>
    <row r="68" spans="1:16">
      <c r="A68" s="19"/>
      <c r="B68" s="19"/>
      <c r="C68" s="19"/>
      <c r="D68" s="19"/>
      <c r="E68" s="20"/>
      <c r="F68" s="20"/>
      <c r="G68" s="19"/>
      <c r="H68" s="19"/>
      <c r="I68" s="10" t="str" cm="1">
        <f t="array" aca="1" ref="I68" ca="1">IF(isEmptyRow,"",F_code)</f>
        <v/>
      </c>
      <c r="J68" s="10" t="str" cm="1">
        <f t="array" aca="1" ref="J68" ca="1">IF(isEmptyRow,"",INDIRECT("C"&amp;ROW())*INDIRECT("D"&amp;ROW()))</f>
        <v/>
      </c>
      <c r="K68" s="10" t="str" cm="1">
        <f t="array" aca="1" ref="K68" ca="1">IF(isEmptyRow,"",J68*2)</f>
        <v/>
      </c>
      <c r="L68" s="10" t="str" cm="1">
        <f t="array" aca="1" ref="L68" ca="1">IF(isEmptyRow,"",F_offset)</f>
        <v/>
      </c>
      <c r="M68" s="11" t="str" cm="1">
        <f t="array" aca="1" ref="M68" ca="1">IF(isEmptyRow,"",F_address)</f>
        <v/>
      </c>
      <c r="N68" s="15" cm="1">
        <f t="array" aca="1" ref="N68" ca="1">F_残</f>
        <v>158</v>
      </c>
      <c r="P68" t="str" cm="1">
        <f t="array" aca="1" ref="P68" ca="1">IF(isDataRow,テーブル定義コード_データ行,IF(isTermRow,テーブル定義コード_番兵行,IF(isCloseRow,テーブル定義コード_最終行,"")))</f>
        <v/>
      </c>
    </row>
    <row r="69" spans="1:16">
      <c r="A69" s="19"/>
      <c r="B69" s="19"/>
      <c r="C69" s="19"/>
      <c r="D69" s="19"/>
      <c r="E69" s="20"/>
      <c r="F69" s="20"/>
      <c r="G69" s="19"/>
      <c r="H69" s="19"/>
      <c r="I69" s="10" t="str" cm="1">
        <f t="array" aca="1" ref="I69" ca="1">IF(isEmptyRow,"",F_code)</f>
        <v/>
      </c>
      <c r="J69" s="10" t="str" cm="1">
        <f t="array" aca="1" ref="J69" ca="1">IF(isEmptyRow,"",INDIRECT("C"&amp;ROW())*INDIRECT("D"&amp;ROW()))</f>
        <v/>
      </c>
      <c r="K69" s="10" t="str" cm="1">
        <f t="array" aca="1" ref="K69" ca="1">IF(isEmptyRow,"",J69*2)</f>
        <v/>
      </c>
      <c r="L69" s="10" t="str" cm="1">
        <f t="array" aca="1" ref="L69" ca="1">IF(isEmptyRow,"",F_offset)</f>
        <v/>
      </c>
      <c r="M69" s="11" t="str" cm="1">
        <f t="array" aca="1" ref="M69" ca="1">IF(isEmptyRow,"",F_address)</f>
        <v/>
      </c>
      <c r="N69" s="15" cm="1">
        <f t="array" aca="1" ref="N69" ca="1">F_残</f>
        <v>158</v>
      </c>
      <c r="P69" t="str" cm="1">
        <f t="array" aca="1" ref="P69" ca="1">IF(isDataRow,テーブル定義コード_データ行,IF(isTermRow,テーブル定義コード_番兵行,IF(isCloseRow,テーブル定義コード_最終行,"")))</f>
        <v/>
      </c>
    </row>
    <row r="70" spans="1:16">
      <c r="A70" s="19"/>
      <c r="B70" s="19"/>
      <c r="C70" s="19"/>
      <c r="D70" s="19"/>
      <c r="E70" s="20"/>
      <c r="F70" s="20"/>
      <c r="G70" s="19"/>
      <c r="H70" s="19"/>
      <c r="I70" s="10" t="str" cm="1">
        <f t="array" aca="1" ref="I70" ca="1">IF(isEmptyRow,"",F_code)</f>
        <v/>
      </c>
      <c r="J70" s="10" t="str" cm="1">
        <f t="array" aca="1" ref="J70" ca="1">IF(isEmptyRow,"",INDIRECT("C"&amp;ROW())*INDIRECT("D"&amp;ROW()))</f>
        <v/>
      </c>
      <c r="K70" s="10" t="str" cm="1">
        <f t="array" aca="1" ref="K70" ca="1">IF(isEmptyRow,"",J70*2)</f>
        <v/>
      </c>
      <c r="L70" s="10" t="str" cm="1">
        <f t="array" aca="1" ref="L70" ca="1">IF(isEmptyRow,"",F_offset)</f>
        <v/>
      </c>
      <c r="M70" s="11" t="str" cm="1">
        <f t="array" aca="1" ref="M70" ca="1">IF(isEmptyRow,"",F_address)</f>
        <v/>
      </c>
      <c r="N70" s="15" cm="1">
        <f t="array" aca="1" ref="N70" ca="1">F_残</f>
        <v>158</v>
      </c>
      <c r="P70" t="str" cm="1">
        <f t="array" aca="1" ref="P70" ca="1">IF(isDataRow,テーブル定義コード_データ行,IF(isTermRow,テーブル定義コード_番兵行,IF(isCloseRow,テーブル定義コード_最終行,"")))</f>
        <v/>
      </c>
    </row>
    <row r="71" spans="1:16">
      <c r="A71" s="19"/>
      <c r="B71" s="19"/>
      <c r="C71" s="19"/>
      <c r="D71" s="19"/>
      <c r="E71" s="20"/>
      <c r="F71" s="20"/>
      <c r="G71" s="19"/>
      <c r="H71" s="19"/>
      <c r="I71" s="10" t="str" cm="1">
        <f t="array" aca="1" ref="I71" ca="1">IF(isEmptyRow,"",F_code)</f>
        <v/>
      </c>
      <c r="J71" s="10" t="str" cm="1">
        <f t="array" aca="1" ref="J71" ca="1">IF(isEmptyRow,"",INDIRECT("C"&amp;ROW())*INDIRECT("D"&amp;ROW()))</f>
        <v/>
      </c>
      <c r="K71" s="10" t="str" cm="1">
        <f t="array" aca="1" ref="K71" ca="1">IF(isEmptyRow,"",J71*2)</f>
        <v/>
      </c>
      <c r="L71" s="10" t="str" cm="1">
        <f t="array" aca="1" ref="L71" ca="1">IF(isEmptyRow,"",F_offset)</f>
        <v/>
      </c>
      <c r="M71" s="11" t="str" cm="1">
        <f t="array" aca="1" ref="M71" ca="1">IF(isEmptyRow,"",F_address)</f>
        <v/>
      </c>
      <c r="N71" s="15" cm="1">
        <f t="array" aca="1" ref="N71" ca="1">F_残</f>
        <v>158</v>
      </c>
      <c r="P71" t="str" cm="1">
        <f t="array" aca="1" ref="P71" ca="1">IF(isDataRow,テーブル定義コード_データ行,IF(isTermRow,テーブル定義コード_番兵行,IF(isCloseRow,テーブル定義コード_最終行,"")))</f>
        <v/>
      </c>
    </row>
    <row r="72" spans="1:16">
      <c r="A72" s="19"/>
      <c r="B72" s="19"/>
      <c r="C72" s="19"/>
      <c r="D72" s="19"/>
      <c r="E72" s="20"/>
      <c r="F72" s="20"/>
      <c r="G72" s="19"/>
      <c r="H72" s="19"/>
      <c r="I72" s="10" t="str" cm="1">
        <f t="array" aca="1" ref="I72" ca="1">IF(isEmptyRow,"",F_code)</f>
        <v/>
      </c>
      <c r="J72" s="10" t="str" cm="1">
        <f t="array" aca="1" ref="J72" ca="1">IF(isEmptyRow,"",INDIRECT("C"&amp;ROW())*INDIRECT("D"&amp;ROW()))</f>
        <v/>
      </c>
      <c r="K72" s="10" t="str" cm="1">
        <f t="array" aca="1" ref="K72" ca="1">IF(isEmptyRow,"",J72*2)</f>
        <v/>
      </c>
      <c r="L72" s="10" t="str" cm="1">
        <f t="array" aca="1" ref="L72" ca="1">IF(isEmptyRow,"",F_offset)</f>
        <v/>
      </c>
      <c r="M72" s="11" t="str" cm="1">
        <f t="array" aca="1" ref="M72" ca="1">IF(isEmptyRow,"",F_address)</f>
        <v/>
      </c>
      <c r="N72" s="15" cm="1">
        <f t="array" aca="1" ref="N72" ca="1">F_残</f>
        <v>158</v>
      </c>
      <c r="P72" t="str" cm="1">
        <f t="array" aca="1" ref="P72" ca="1">IF(isDataRow,テーブル定義コード_データ行,IF(isTermRow,テーブル定義コード_番兵行,IF(isCloseRow,テーブル定義コード_最終行,"")))</f>
        <v/>
      </c>
    </row>
    <row r="73" spans="1:16">
      <c r="A73" s="19"/>
      <c r="B73" s="19"/>
      <c r="C73" s="19"/>
      <c r="D73" s="19"/>
      <c r="E73" s="20"/>
      <c r="F73" s="20"/>
      <c r="G73" s="19"/>
      <c r="H73" s="19"/>
      <c r="I73" s="10" t="str" cm="1">
        <f t="array" aca="1" ref="I73" ca="1">IF(isEmptyRow,"",F_code)</f>
        <v/>
      </c>
      <c r="J73" s="10" t="str" cm="1">
        <f t="array" aca="1" ref="J73" ca="1">IF(isEmptyRow,"",INDIRECT("C"&amp;ROW())*INDIRECT("D"&amp;ROW()))</f>
        <v/>
      </c>
      <c r="K73" s="10" t="str" cm="1">
        <f t="array" aca="1" ref="K73" ca="1">IF(isEmptyRow,"",J73*2)</f>
        <v/>
      </c>
      <c r="L73" s="10" t="str" cm="1">
        <f t="array" aca="1" ref="L73" ca="1">IF(isEmptyRow,"",F_offset)</f>
        <v/>
      </c>
      <c r="M73" s="11" t="str" cm="1">
        <f t="array" aca="1" ref="M73" ca="1">IF(isEmptyRow,"",F_address)</f>
        <v/>
      </c>
      <c r="N73" s="15" cm="1">
        <f t="array" aca="1" ref="N73" ca="1">F_残</f>
        <v>158</v>
      </c>
      <c r="P73" t="str" cm="1">
        <f t="array" aca="1" ref="P73" ca="1">IF(isDataRow,テーブル定義コード_データ行,IF(isTermRow,テーブル定義コード_番兵行,IF(isCloseRow,テーブル定義コード_最終行,"")))</f>
        <v/>
      </c>
    </row>
    <row r="74" spans="1:16">
      <c r="A74" s="19"/>
      <c r="B74" s="19"/>
      <c r="C74" s="19"/>
      <c r="D74" s="19"/>
      <c r="E74" s="20"/>
      <c r="F74" s="20"/>
      <c r="G74" s="19"/>
      <c r="H74" s="19"/>
      <c r="I74" s="10" t="str" cm="1">
        <f t="array" aca="1" ref="I74" ca="1">IF(isEmptyRow,"",F_code)</f>
        <v/>
      </c>
      <c r="J74" s="10" t="str" cm="1">
        <f t="array" aca="1" ref="J74" ca="1">IF(isEmptyRow,"",INDIRECT("C"&amp;ROW())*INDIRECT("D"&amp;ROW()))</f>
        <v/>
      </c>
      <c r="K74" s="10" t="str" cm="1">
        <f t="array" aca="1" ref="K74" ca="1">IF(isEmptyRow,"",J74*2)</f>
        <v/>
      </c>
      <c r="L74" s="10" t="str" cm="1">
        <f t="array" aca="1" ref="L74" ca="1">IF(isEmptyRow,"",F_offset)</f>
        <v/>
      </c>
      <c r="M74" s="11" t="str" cm="1">
        <f t="array" aca="1" ref="M74" ca="1">IF(isEmptyRow,"",F_address)</f>
        <v/>
      </c>
      <c r="N74" s="15" cm="1">
        <f t="array" aca="1" ref="N74" ca="1">F_残</f>
        <v>158</v>
      </c>
      <c r="P74" t="str" cm="1">
        <f t="array" aca="1" ref="P74" ca="1">IF(isDataRow,テーブル定義コード_データ行,IF(isTermRow,テーブル定義コード_番兵行,IF(isCloseRow,テーブル定義コード_最終行,"")))</f>
        <v/>
      </c>
    </row>
    <row r="75" spans="1:16">
      <c r="A75" s="19"/>
      <c r="B75" s="19"/>
      <c r="C75" s="19"/>
      <c r="D75" s="19"/>
      <c r="E75" s="20"/>
      <c r="F75" s="20"/>
      <c r="G75" s="19"/>
      <c r="H75" s="19"/>
      <c r="I75" s="10" t="str" cm="1">
        <f t="array" aca="1" ref="I75" ca="1">IF(isEmptyRow,"",F_code)</f>
        <v/>
      </c>
      <c r="J75" s="10" t="str" cm="1">
        <f t="array" aca="1" ref="J75" ca="1">IF(isEmptyRow,"",INDIRECT("C"&amp;ROW())*INDIRECT("D"&amp;ROW()))</f>
        <v/>
      </c>
      <c r="K75" s="10" t="str" cm="1">
        <f t="array" aca="1" ref="K75" ca="1">IF(isEmptyRow,"",J75*2)</f>
        <v/>
      </c>
      <c r="L75" s="10" t="str" cm="1">
        <f t="array" aca="1" ref="L75" ca="1">IF(isEmptyRow,"",F_offset)</f>
        <v/>
      </c>
      <c r="M75" s="11" t="str" cm="1">
        <f t="array" aca="1" ref="M75" ca="1">IF(isEmptyRow,"",F_address)</f>
        <v/>
      </c>
      <c r="N75" s="15" cm="1">
        <f t="array" aca="1" ref="N75" ca="1">F_残</f>
        <v>158</v>
      </c>
      <c r="P75" t="str" cm="1">
        <f t="array" aca="1" ref="P75" ca="1">IF(isDataRow,テーブル定義コード_データ行,IF(isTermRow,テーブル定義コード_番兵行,IF(isCloseRow,テーブル定義コード_最終行,"")))</f>
        <v/>
      </c>
    </row>
    <row r="76" spans="1:16">
      <c r="A76" s="19"/>
      <c r="B76" s="19"/>
      <c r="C76" s="19"/>
      <c r="D76" s="19"/>
      <c r="E76" s="20"/>
      <c r="F76" s="20"/>
      <c r="G76" s="19"/>
      <c r="H76" s="19"/>
      <c r="I76" s="10" t="str" cm="1">
        <f t="array" aca="1" ref="I76" ca="1">IF(isEmptyRow,"",F_code)</f>
        <v/>
      </c>
      <c r="J76" s="10" t="str" cm="1">
        <f t="array" aca="1" ref="J76" ca="1">IF(isEmptyRow,"",INDIRECT("C"&amp;ROW())*INDIRECT("D"&amp;ROW()))</f>
        <v/>
      </c>
      <c r="K76" s="10" t="str" cm="1">
        <f t="array" aca="1" ref="K76" ca="1">IF(isEmptyRow,"",J76*2)</f>
        <v/>
      </c>
      <c r="L76" s="10" t="str" cm="1">
        <f t="array" aca="1" ref="L76" ca="1">IF(isEmptyRow,"",F_offset)</f>
        <v/>
      </c>
      <c r="M76" s="11" t="str" cm="1">
        <f t="array" aca="1" ref="M76" ca="1">IF(isEmptyRow,"",F_address)</f>
        <v/>
      </c>
      <c r="N76" s="15" cm="1">
        <f t="array" aca="1" ref="N76" ca="1">F_残</f>
        <v>158</v>
      </c>
      <c r="P76" t="str" cm="1">
        <f t="array" aca="1" ref="P76" ca="1">IF(isDataRow,テーブル定義コード_データ行,IF(isTermRow,テーブル定義コード_番兵行,IF(isCloseRow,テーブル定義コード_最終行,"")))</f>
        <v/>
      </c>
    </row>
    <row r="77" spans="1:16">
      <c r="A77" s="19"/>
      <c r="B77" s="19"/>
      <c r="C77" s="19"/>
      <c r="D77" s="19"/>
      <c r="E77" s="20"/>
      <c r="F77" s="20"/>
      <c r="G77" s="19"/>
      <c r="H77" s="19"/>
      <c r="I77" s="10" t="str" cm="1">
        <f t="array" aca="1" ref="I77" ca="1">IF(isEmptyRow,"",F_code)</f>
        <v/>
      </c>
      <c r="J77" s="10" t="str" cm="1">
        <f t="array" aca="1" ref="J77" ca="1">IF(isEmptyRow,"",INDIRECT("C"&amp;ROW())*INDIRECT("D"&amp;ROW()))</f>
        <v/>
      </c>
      <c r="K77" s="10" t="str" cm="1">
        <f t="array" aca="1" ref="K77" ca="1">IF(isEmptyRow,"",J77*2)</f>
        <v/>
      </c>
      <c r="L77" s="10" t="str" cm="1">
        <f t="array" aca="1" ref="L77" ca="1">IF(isEmptyRow,"",F_offset)</f>
        <v/>
      </c>
      <c r="M77" s="11" t="str" cm="1">
        <f t="array" aca="1" ref="M77" ca="1">IF(isEmptyRow,"",F_address)</f>
        <v/>
      </c>
      <c r="N77" s="15" cm="1">
        <f t="array" aca="1" ref="N77" ca="1">F_残</f>
        <v>158</v>
      </c>
      <c r="P77" t="str" cm="1">
        <f t="array" aca="1" ref="P77" ca="1">IF(isDataRow,テーブル定義コード_データ行,IF(isTermRow,テーブル定義コード_番兵行,IF(isCloseRow,テーブル定義コード_最終行,"")))</f>
        <v/>
      </c>
    </row>
    <row r="78" spans="1:16">
      <c r="A78" s="19"/>
      <c r="B78" s="19"/>
      <c r="C78" s="19"/>
      <c r="D78" s="19"/>
      <c r="E78" s="20"/>
      <c r="F78" s="20"/>
      <c r="G78" s="19"/>
      <c r="H78" s="19"/>
      <c r="I78" s="10" t="str" cm="1">
        <f t="array" aca="1" ref="I78" ca="1">IF(isEmptyRow,"",F_code)</f>
        <v/>
      </c>
      <c r="J78" s="10" t="str" cm="1">
        <f t="array" aca="1" ref="J78" ca="1">IF(isEmptyRow,"",INDIRECT("C"&amp;ROW())*INDIRECT("D"&amp;ROW()))</f>
        <v/>
      </c>
      <c r="K78" s="10" t="str" cm="1">
        <f t="array" aca="1" ref="K78" ca="1">IF(isEmptyRow,"",J78*2)</f>
        <v/>
      </c>
      <c r="L78" s="10" t="str" cm="1">
        <f t="array" aca="1" ref="L78" ca="1">IF(isEmptyRow,"",F_offset)</f>
        <v/>
      </c>
      <c r="M78" s="11" t="str" cm="1">
        <f t="array" aca="1" ref="M78" ca="1">IF(isEmptyRow,"",F_address)</f>
        <v/>
      </c>
      <c r="N78" s="15" cm="1">
        <f t="array" aca="1" ref="N78" ca="1">F_残</f>
        <v>158</v>
      </c>
      <c r="P78" t="str" cm="1">
        <f t="array" aca="1" ref="P78" ca="1">IF(isDataRow,テーブル定義コード_データ行,IF(isTermRow,テーブル定義コード_番兵行,IF(isCloseRow,テーブル定義コード_最終行,"")))</f>
        <v/>
      </c>
    </row>
    <row r="79" spans="1:16">
      <c r="A79" s="19"/>
      <c r="B79" s="19"/>
      <c r="C79" s="19"/>
      <c r="D79" s="19"/>
      <c r="E79" s="20"/>
      <c r="F79" s="20"/>
      <c r="G79" s="19"/>
      <c r="H79" s="19"/>
      <c r="I79" s="10" t="str" cm="1">
        <f t="array" aca="1" ref="I79" ca="1">IF(isEmptyRow,"",F_code)</f>
        <v/>
      </c>
      <c r="J79" s="10" t="str" cm="1">
        <f t="array" aca="1" ref="J79" ca="1">IF(isEmptyRow,"",INDIRECT("C"&amp;ROW())*INDIRECT("D"&amp;ROW()))</f>
        <v/>
      </c>
      <c r="K79" s="10" t="str" cm="1">
        <f t="array" aca="1" ref="K79" ca="1">IF(isEmptyRow,"",J79*2)</f>
        <v/>
      </c>
      <c r="L79" s="10" t="str" cm="1">
        <f t="array" aca="1" ref="L79" ca="1">IF(isEmptyRow,"",F_offset)</f>
        <v/>
      </c>
      <c r="M79" s="11" t="str" cm="1">
        <f t="array" aca="1" ref="M79" ca="1">IF(isEmptyRow,"",F_address)</f>
        <v/>
      </c>
      <c r="N79" s="15" cm="1">
        <f t="array" aca="1" ref="N79" ca="1">F_残</f>
        <v>158</v>
      </c>
      <c r="P79" t="str" cm="1">
        <f t="array" aca="1" ref="P79" ca="1">IF(isDataRow,テーブル定義コード_データ行,IF(isTermRow,テーブル定義コード_番兵行,IF(isCloseRow,テーブル定義コード_最終行,"")))</f>
        <v/>
      </c>
    </row>
    <row r="80" spans="1:16">
      <c r="A80" s="19"/>
      <c r="B80" s="19"/>
      <c r="C80" s="19"/>
      <c r="D80" s="19"/>
      <c r="E80" s="20"/>
      <c r="F80" s="20"/>
      <c r="G80" s="19"/>
      <c r="H80" s="19"/>
      <c r="I80" s="10" t="str" cm="1">
        <f t="array" aca="1" ref="I80" ca="1">IF(isEmptyRow,"",F_code)</f>
        <v/>
      </c>
      <c r="J80" s="10" t="str" cm="1">
        <f t="array" aca="1" ref="J80" ca="1">IF(isEmptyRow,"",INDIRECT("C"&amp;ROW())*INDIRECT("D"&amp;ROW()))</f>
        <v/>
      </c>
      <c r="K80" s="10" t="str" cm="1">
        <f t="array" aca="1" ref="K80" ca="1">IF(isEmptyRow,"",J80*2)</f>
        <v/>
      </c>
      <c r="L80" s="10" t="str" cm="1">
        <f t="array" aca="1" ref="L80" ca="1">IF(isEmptyRow,"",F_offset)</f>
        <v/>
      </c>
      <c r="M80" s="11" t="str" cm="1">
        <f t="array" aca="1" ref="M80" ca="1">IF(isEmptyRow,"",F_address)</f>
        <v/>
      </c>
      <c r="N80" s="15" cm="1">
        <f t="array" aca="1" ref="N80" ca="1">F_残</f>
        <v>158</v>
      </c>
      <c r="P80" t="str" cm="1">
        <f t="array" aca="1" ref="P80" ca="1">IF(isDataRow,テーブル定義コード_データ行,IF(isTermRow,テーブル定義コード_番兵行,IF(isCloseRow,テーブル定義コード_最終行,"")))</f>
        <v/>
      </c>
    </row>
    <row r="81" spans="1:16">
      <c r="A81" s="19"/>
      <c r="B81" s="19"/>
      <c r="C81" s="19"/>
      <c r="D81" s="19"/>
      <c r="E81" s="20"/>
      <c r="F81" s="20"/>
      <c r="G81" s="19"/>
      <c r="H81" s="19"/>
      <c r="I81" s="10" t="str" cm="1">
        <f t="array" aca="1" ref="I81" ca="1">IF(isEmptyRow,"",F_code)</f>
        <v/>
      </c>
      <c r="J81" s="10" t="str" cm="1">
        <f t="array" aca="1" ref="J81" ca="1">IF(isEmptyRow,"",INDIRECT("C"&amp;ROW())*INDIRECT("D"&amp;ROW()))</f>
        <v/>
      </c>
      <c r="K81" s="10" t="str" cm="1">
        <f t="array" aca="1" ref="K81" ca="1">IF(isEmptyRow,"",J81*2)</f>
        <v/>
      </c>
      <c r="L81" s="10" t="str" cm="1">
        <f t="array" aca="1" ref="L81" ca="1">IF(isEmptyRow,"",F_offset)</f>
        <v/>
      </c>
      <c r="M81" s="11" t="str" cm="1">
        <f t="array" aca="1" ref="M81" ca="1">IF(isEmptyRow,"",F_address)</f>
        <v/>
      </c>
      <c r="N81" s="15" cm="1">
        <f t="array" aca="1" ref="N81" ca="1">F_残</f>
        <v>158</v>
      </c>
      <c r="P81" t="str" cm="1">
        <f t="array" aca="1" ref="P81" ca="1">IF(isDataRow,テーブル定義コード_データ行,IF(isTermRow,テーブル定義コード_番兵行,IF(isCloseRow,テーブル定義コード_最終行,"")))</f>
        <v/>
      </c>
    </row>
    <row r="82" spans="1:16">
      <c r="A82" s="19"/>
      <c r="B82" s="19"/>
      <c r="C82" s="19"/>
      <c r="D82" s="19"/>
      <c r="E82" s="20"/>
      <c r="F82" s="20"/>
      <c r="G82" s="19"/>
      <c r="H82" s="19"/>
      <c r="I82" s="10" t="str" cm="1">
        <f t="array" aca="1" ref="I82" ca="1">IF(isEmptyRow,"",F_code)</f>
        <v/>
      </c>
      <c r="J82" s="10" t="str" cm="1">
        <f t="array" aca="1" ref="J82" ca="1">IF(isEmptyRow,"",INDIRECT("C"&amp;ROW())*INDIRECT("D"&amp;ROW()))</f>
        <v/>
      </c>
      <c r="K82" s="10" t="str" cm="1">
        <f t="array" aca="1" ref="K82" ca="1">IF(isEmptyRow,"",J82*2)</f>
        <v/>
      </c>
      <c r="L82" s="10" t="str" cm="1">
        <f t="array" aca="1" ref="L82" ca="1">IF(isEmptyRow,"",F_offset)</f>
        <v/>
      </c>
      <c r="M82" s="11" t="str" cm="1">
        <f t="array" aca="1" ref="M82" ca="1">IF(isEmptyRow,"",F_address)</f>
        <v/>
      </c>
      <c r="N82" s="15" cm="1">
        <f t="array" aca="1" ref="N82" ca="1">F_残</f>
        <v>158</v>
      </c>
      <c r="P82" t="str" cm="1">
        <f t="array" aca="1" ref="P82" ca="1">IF(isDataRow,テーブル定義コード_データ行,IF(isTermRow,テーブル定義コード_番兵行,IF(isCloseRow,テーブル定義コード_最終行,"")))</f>
        <v/>
      </c>
    </row>
    <row r="83" spans="1:16">
      <c r="A83" s="19"/>
      <c r="B83" s="19"/>
      <c r="C83" s="19"/>
      <c r="D83" s="19"/>
      <c r="E83" s="20"/>
      <c r="F83" s="20"/>
      <c r="G83" s="19"/>
      <c r="H83" s="19"/>
      <c r="I83" s="10" t="str" cm="1">
        <f t="array" aca="1" ref="I83" ca="1">IF(isEmptyRow,"",F_code)</f>
        <v/>
      </c>
      <c r="J83" s="10" t="str" cm="1">
        <f t="array" aca="1" ref="J83" ca="1">IF(isEmptyRow,"",INDIRECT("C"&amp;ROW())*INDIRECT("D"&amp;ROW()))</f>
        <v/>
      </c>
      <c r="K83" s="10" t="str" cm="1">
        <f t="array" aca="1" ref="K83" ca="1">IF(isEmptyRow,"",J83*2)</f>
        <v/>
      </c>
      <c r="L83" s="10" t="str" cm="1">
        <f t="array" aca="1" ref="L83" ca="1">IF(isEmptyRow,"",F_offset)</f>
        <v/>
      </c>
      <c r="M83" s="11" t="str" cm="1">
        <f t="array" aca="1" ref="M83" ca="1">IF(isEmptyRow,"",F_address)</f>
        <v/>
      </c>
      <c r="N83" s="15" cm="1">
        <f t="array" aca="1" ref="N83" ca="1">F_残</f>
        <v>158</v>
      </c>
      <c r="P83" t="str" cm="1">
        <f t="array" aca="1" ref="P83" ca="1">IF(isDataRow,テーブル定義コード_データ行,IF(isTermRow,テーブル定義コード_番兵行,IF(isCloseRow,テーブル定義コード_最終行,"")))</f>
        <v/>
      </c>
    </row>
    <row r="84" spans="1:16">
      <c r="A84" s="19"/>
      <c r="B84" s="19"/>
      <c r="C84" s="19"/>
      <c r="D84" s="19"/>
      <c r="E84" s="20"/>
      <c r="F84" s="20"/>
      <c r="G84" s="19"/>
      <c r="H84" s="19"/>
      <c r="I84" s="10" t="str" cm="1">
        <f t="array" aca="1" ref="I84" ca="1">IF(isEmptyRow,"",F_code)</f>
        <v/>
      </c>
      <c r="J84" s="10" t="str" cm="1">
        <f t="array" aca="1" ref="J84" ca="1">IF(isEmptyRow,"",INDIRECT("C"&amp;ROW())*INDIRECT("D"&amp;ROW()))</f>
        <v/>
      </c>
      <c r="K84" s="10" t="str" cm="1">
        <f t="array" aca="1" ref="K84" ca="1">IF(isEmptyRow,"",J84*2)</f>
        <v/>
      </c>
      <c r="L84" s="10" t="str" cm="1">
        <f t="array" aca="1" ref="L84" ca="1">IF(isEmptyRow,"",F_offset)</f>
        <v/>
      </c>
      <c r="M84" s="11" t="str" cm="1">
        <f t="array" aca="1" ref="M84" ca="1">IF(isEmptyRow,"",F_address)</f>
        <v/>
      </c>
      <c r="N84" s="15" cm="1">
        <f t="array" aca="1" ref="N84" ca="1">F_残</f>
        <v>158</v>
      </c>
      <c r="P84" t="str" cm="1">
        <f t="array" aca="1" ref="P84" ca="1">IF(isDataRow,テーブル定義コード_データ行,IF(isTermRow,テーブル定義コード_番兵行,IF(isCloseRow,テーブル定義コード_最終行,"")))</f>
        <v/>
      </c>
    </row>
    <row r="85" spans="1:16">
      <c r="A85" s="19"/>
      <c r="B85" s="19"/>
      <c r="C85" s="19"/>
      <c r="D85" s="19"/>
      <c r="E85" s="20"/>
      <c r="F85" s="20"/>
      <c r="G85" s="19"/>
      <c r="H85" s="19"/>
      <c r="I85" s="10" t="str" cm="1">
        <f t="array" aca="1" ref="I85" ca="1">IF(isEmptyRow,"",F_code)</f>
        <v/>
      </c>
      <c r="J85" s="10" t="str" cm="1">
        <f t="array" aca="1" ref="J85" ca="1">IF(isEmptyRow,"",INDIRECT("C"&amp;ROW())*INDIRECT("D"&amp;ROW()))</f>
        <v/>
      </c>
      <c r="K85" s="10" t="str" cm="1">
        <f t="array" aca="1" ref="K85" ca="1">IF(isEmptyRow,"",J85*2)</f>
        <v/>
      </c>
      <c r="L85" s="10" t="str" cm="1">
        <f t="array" aca="1" ref="L85" ca="1">IF(isEmptyRow,"",F_offset)</f>
        <v/>
      </c>
      <c r="M85" s="11" t="str" cm="1">
        <f t="array" aca="1" ref="M85" ca="1">IF(isEmptyRow,"",F_address)</f>
        <v/>
      </c>
      <c r="N85" s="15" cm="1">
        <f t="array" aca="1" ref="N85" ca="1">F_残</f>
        <v>158</v>
      </c>
      <c r="P85" t="str" cm="1">
        <f t="array" aca="1" ref="P85" ca="1">IF(isDataRow,テーブル定義コード_データ行,IF(isTermRow,テーブル定義コード_番兵行,IF(isCloseRow,テーブル定義コード_最終行,"")))</f>
        <v/>
      </c>
    </row>
    <row r="86" spans="1:16">
      <c r="A86" s="19"/>
      <c r="B86" s="19"/>
      <c r="C86" s="19"/>
      <c r="D86" s="19"/>
      <c r="E86" s="20"/>
      <c r="F86" s="20"/>
      <c r="G86" s="19"/>
      <c r="H86" s="19"/>
      <c r="I86" s="10" t="str" cm="1">
        <f t="array" aca="1" ref="I86" ca="1">IF(isEmptyRow,"",F_code)</f>
        <v/>
      </c>
      <c r="J86" s="10" t="str" cm="1">
        <f t="array" aca="1" ref="J86" ca="1">IF(isEmptyRow,"",INDIRECT("C"&amp;ROW())*INDIRECT("D"&amp;ROW()))</f>
        <v/>
      </c>
      <c r="K86" s="10" t="str" cm="1">
        <f t="array" aca="1" ref="K86" ca="1">IF(isEmptyRow,"",J86*2)</f>
        <v/>
      </c>
      <c r="L86" s="10" t="str" cm="1">
        <f t="array" aca="1" ref="L86" ca="1">IF(isEmptyRow,"",F_offset)</f>
        <v/>
      </c>
      <c r="M86" s="11" t="str" cm="1">
        <f t="array" aca="1" ref="M86" ca="1">IF(isEmptyRow,"",F_address)</f>
        <v/>
      </c>
      <c r="N86" s="15" cm="1">
        <f t="array" aca="1" ref="N86" ca="1">F_残</f>
        <v>158</v>
      </c>
      <c r="P86" t="str" cm="1">
        <f t="array" aca="1" ref="P86" ca="1">IF(isDataRow,テーブル定義コード_データ行,IF(isTermRow,テーブル定義コード_番兵行,IF(isCloseRow,テーブル定義コード_最終行,"")))</f>
        <v/>
      </c>
    </row>
    <row r="87" spans="1:16">
      <c r="A87" s="19"/>
      <c r="B87" s="19"/>
      <c r="C87" s="19"/>
      <c r="D87" s="19"/>
      <c r="E87" s="20"/>
      <c r="F87" s="20"/>
      <c r="G87" s="19"/>
      <c r="H87" s="19"/>
      <c r="I87" s="10" t="str" cm="1">
        <f t="array" aca="1" ref="I87" ca="1">IF(isEmptyRow,"",F_code)</f>
        <v/>
      </c>
      <c r="J87" s="10" t="str" cm="1">
        <f t="array" aca="1" ref="J87" ca="1">IF(isEmptyRow,"",INDIRECT("C"&amp;ROW())*INDIRECT("D"&amp;ROW()))</f>
        <v/>
      </c>
      <c r="K87" s="10" t="str" cm="1">
        <f t="array" aca="1" ref="K87" ca="1">IF(isEmptyRow,"",J87*2)</f>
        <v/>
      </c>
      <c r="L87" s="10" t="str" cm="1">
        <f t="array" aca="1" ref="L87" ca="1">IF(isEmptyRow,"",F_offset)</f>
        <v/>
      </c>
      <c r="M87" s="11" t="str" cm="1">
        <f t="array" aca="1" ref="M87" ca="1">IF(isEmptyRow,"",F_address)</f>
        <v/>
      </c>
      <c r="N87" s="15" cm="1">
        <f t="array" aca="1" ref="N87" ca="1">F_残</f>
        <v>158</v>
      </c>
      <c r="P87" t="str" cm="1">
        <f t="array" aca="1" ref="P87" ca="1">IF(isDataRow,テーブル定義コード_データ行,IF(isTermRow,テーブル定義コード_番兵行,IF(isCloseRow,テーブル定義コード_最終行,"")))</f>
        <v/>
      </c>
    </row>
    <row r="88" spans="1:16">
      <c r="A88" s="19"/>
      <c r="B88" s="19"/>
      <c r="C88" s="19"/>
      <c r="D88" s="19"/>
      <c r="E88" s="20"/>
      <c r="F88" s="20"/>
      <c r="G88" s="19"/>
      <c r="H88" s="19"/>
      <c r="I88" s="10" t="str" cm="1">
        <f t="array" aca="1" ref="I88" ca="1">IF(isEmptyRow,"",F_code)</f>
        <v/>
      </c>
      <c r="J88" s="10" t="str" cm="1">
        <f t="array" aca="1" ref="J88" ca="1">IF(isEmptyRow,"",INDIRECT("C"&amp;ROW())*INDIRECT("D"&amp;ROW()))</f>
        <v/>
      </c>
      <c r="K88" s="10" t="str" cm="1">
        <f t="array" aca="1" ref="K88" ca="1">IF(isEmptyRow,"",J88*2)</f>
        <v/>
      </c>
      <c r="L88" s="10" t="str" cm="1">
        <f t="array" aca="1" ref="L88" ca="1">IF(isEmptyRow,"",F_offset)</f>
        <v/>
      </c>
      <c r="M88" s="11" t="str" cm="1">
        <f t="array" aca="1" ref="M88" ca="1">IF(isEmptyRow,"",F_address)</f>
        <v/>
      </c>
      <c r="N88" s="15" cm="1">
        <f t="array" aca="1" ref="N88" ca="1">F_残</f>
        <v>158</v>
      </c>
      <c r="P88" t="str" cm="1">
        <f t="array" aca="1" ref="P88" ca="1">IF(isDataRow,テーブル定義コード_データ行,IF(isTermRow,テーブル定義コード_番兵行,IF(isCloseRow,テーブル定義コード_最終行,"")))</f>
        <v/>
      </c>
    </row>
    <row r="89" spans="1:16">
      <c r="A89" s="19"/>
      <c r="B89" s="19"/>
      <c r="C89" s="19"/>
      <c r="D89" s="19"/>
      <c r="E89" s="20"/>
      <c r="F89" s="20"/>
      <c r="G89" s="19"/>
      <c r="H89" s="19"/>
      <c r="I89" s="10" t="str" cm="1">
        <f t="array" aca="1" ref="I89" ca="1">IF(isEmptyRow,"",F_code)</f>
        <v/>
      </c>
      <c r="J89" s="10" t="str" cm="1">
        <f t="array" aca="1" ref="J89" ca="1">IF(isEmptyRow,"",INDIRECT("C"&amp;ROW())*INDIRECT("D"&amp;ROW()))</f>
        <v/>
      </c>
      <c r="K89" s="10" t="str" cm="1">
        <f t="array" aca="1" ref="K89" ca="1">IF(isEmptyRow,"",J89*2)</f>
        <v/>
      </c>
      <c r="L89" s="10" t="str" cm="1">
        <f t="array" aca="1" ref="L89" ca="1">IF(isEmptyRow,"",F_offset)</f>
        <v/>
      </c>
      <c r="M89" s="11" t="str" cm="1">
        <f t="array" aca="1" ref="M89" ca="1">IF(isEmptyRow,"",F_address)</f>
        <v/>
      </c>
      <c r="N89" s="15" cm="1">
        <f t="array" aca="1" ref="N89" ca="1">F_残</f>
        <v>158</v>
      </c>
      <c r="P89" t="str" cm="1">
        <f t="array" aca="1" ref="P89" ca="1">IF(isDataRow,テーブル定義コード_データ行,IF(isTermRow,テーブル定義コード_番兵行,IF(isCloseRow,テーブル定義コード_最終行,"")))</f>
        <v/>
      </c>
    </row>
    <row r="90" spans="1:16">
      <c r="A90" s="19"/>
      <c r="B90" s="19"/>
      <c r="C90" s="19"/>
      <c r="D90" s="19"/>
      <c r="E90" s="20"/>
      <c r="F90" s="20"/>
      <c r="G90" s="19"/>
      <c r="H90" s="19"/>
      <c r="I90" s="10" t="str" cm="1">
        <f t="array" aca="1" ref="I90" ca="1">IF(isEmptyRow,"",F_code)</f>
        <v/>
      </c>
      <c r="J90" s="10" t="str" cm="1">
        <f t="array" aca="1" ref="J90" ca="1">IF(isEmptyRow,"",INDIRECT("C"&amp;ROW())*INDIRECT("D"&amp;ROW()))</f>
        <v/>
      </c>
      <c r="K90" s="10" t="str" cm="1">
        <f t="array" aca="1" ref="K90" ca="1">IF(isEmptyRow,"",J90*2)</f>
        <v/>
      </c>
      <c r="L90" s="10" t="str" cm="1">
        <f t="array" aca="1" ref="L90" ca="1">IF(isEmptyRow,"",F_offset)</f>
        <v/>
      </c>
      <c r="M90" s="11" t="str" cm="1">
        <f t="array" aca="1" ref="M90" ca="1">IF(isEmptyRow,"",F_address)</f>
        <v/>
      </c>
      <c r="N90" s="15" cm="1">
        <f t="array" aca="1" ref="N90" ca="1">F_残</f>
        <v>158</v>
      </c>
      <c r="P90" t="str" cm="1">
        <f t="array" aca="1" ref="P90" ca="1">IF(isDataRow,テーブル定義コード_データ行,IF(isTermRow,テーブル定義コード_番兵行,IF(isCloseRow,テーブル定義コード_最終行,"")))</f>
        <v/>
      </c>
    </row>
    <row r="91" spans="1:16">
      <c r="A91" s="19"/>
      <c r="B91" s="19"/>
      <c r="C91" s="19"/>
      <c r="D91" s="19"/>
      <c r="E91" s="20"/>
      <c r="F91" s="20"/>
      <c r="G91" s="19"/>
      <c r="H91" s="19"/>
      <c r="I91" s="10" t="str" cm="1">
        <f t="array" aca="1" ref="I91" ca="1">IF(isEmptyRow,"",F_code)</f>
        <v/>
      </c>
      <c r="J91" s="10" t="str" cm="1">
        <f t="array" aca="1" ref="J91" ca="1">IF(isEmptyRow,"",INDIRECT("C"&amp;ROW())*INDIRECT("D"&amp;ROW()))</f>
        <v/>
      </c>
      <c r="K91" s="10" t="str" cm="1">
        <f t="array" aca="1" ref="K91" ca="1">IF(isEmptyRow,"",J91*2)</f>
        <v/>
      </c>
      <c r="L91" s="10" t="str" cm="1">
        <f t="array" aca="1" ref="L91" ca="1">IF(isEmptyRow,"",F_offset)</f>
        <v/>
      </c>
      <c r="M91" s="11" t="str" cm="1">
        <f t="array" aca="1" ref="M91" ca="1">IF(isEmptyRow,"",F_address)</f>
        <v/>
      </c>
      <c r="N91" s="15" cm="1">
        <f t="array" aca="1" ref="N91" ca="1">F_残</f>
        <v>158</v>
      </c>
      <c r="P91" t="str" cm="1">
        <f t="array" aca="1" ref="P91" ca="1">IF(isDataRow,テーブル定義コード_データ行,IF(isTermRow,テーブル定義コード_番兵行,IF(isCloseRow,テーブル定義コード_最終行,"")))</f>
        <v/>
      </c>
    </row>
    <row r="92" spans="1:16">
      <c r="A92" s="19"/>
      <c r="B92" s="19"/>
      <c r="C92" s="19"/>
      <c r="D92" s="19"/>
      <c r="E92" s="20"/>
      <c r="F92" s="20"/>
      <c r="G92" s="19"/>
      <c r="H92" s="19"/>
      <c r="I92" s="10" t="str" cm="1">
        <f t="array" aca="1" ref="I92" ca="1">IF(isEmptyRow,"",F_code)</f>
        <v/>
      </c>
      <c r="J92" s="10" t="str" cm="1">
        <f t="array" aca="1" ref="J92" ca="1">IF(isEmptyRow,"",INDIRECT("C"&amp;ROW())*INDIRECT("D"&amp;ROW()))</f>
        <v/>
      </c>
      <c r="K92" s="10" t="str" cm="1">
        <f t="array" aca="1" ref="K92" ca="1">IF(isEmptyRow,"",J92*2)</f>
        <v/>
      </c>
      <c r="L92" s="10" t="str" cm="1">
        <f t="array" aca="1" ref="L92" ca="1">IF(isEmptyRow,"",F_offset)</f>
        <v/>
      </c>
      <c r="M92" s="11" t="str" cm="1">
        <f t="array" aca="1" ref="M92" ca="1">IF(isEmptyRow,"",F_address)</f>
        <v/>
      </c>
      <c r="N92" s="15" cm="1">
        <f t="array" aca="1" ref="N92" ca="1">F_残</f>
        <v>158</v>
      </c>
      <c r="P92" t="str" cm="1">
        <f t="array" aca="1" ref="P92" ca="1">IF(isDataRow,テーブル定義コード_データ行,IF(isTermRow,テーブル定義コード_番兵行,IF(isCloseRow,テーブル定義コード_最終行,"")))</f>
        <v/>
      </c>
    </row>
    <row r="93" spans="1:16">
      <c r="A93" s="19"/>
      <c r="B93" s="19"/>
      <c r="C93" s="19"/>
      <c r="D93" s="19"/>
      <c r="E93" s="20"/>
      <c r="F93" s="20"/>
      <c r="G93" s="19"/>
      <c r="H93" s="19"/>
      <c r="I93" s="10" t="str" cm="1">
        <f t="array" aca="1" ref="I93" ca="1">IF(isEmptyRow,"",F_code)</f>
        <v/>
      </c>
      <c r="J93" s="10" t="str" cm="1">
        <f t="array" aca="1" ref="J93" ca="1">IF(isEmptyRow,"",INDIRECT("C"&amp;ROW())*INDIRECT("D"&amp;ROW()))</f>
        <v/>
      </c>
      <c r="K93" s="10" t="str" cm="1">
        <f t="array" aca="1" ref="K93" ca="1">IF(isEmptyRow,"",J93*2)</f>
        <v/>
      </c>
      <c r="L93" s="10" t="str" cm="1">
        <f t="array" aca="1" ref="L93" ca="1">IF(isEmptyRow,"",F_offset)</f>
        <v/>
      </c>
      <c r="M93" s="11" t="str" cm="1">
        <f t="array" aca="1" ref="M93" ca="1">IF(isEmptyRow,"",F_address)</f>
        <v/>
      </c>
      <c r="N93" s="15" cm="1">
        <f t="array" aca="1" ref="N93" ca="1">F_残</f>
        <v>158</v>
      </c>
      <c r="P93" t="str" cm="1">
        <f t="array" aca="1" ref="P93" ca="1">IF(isDataRow,テーブル定義コード_データ行,IF(isTermRow,テーブル定義コード_番兵行,IF(isCloseRow,テーブル定義コード_最終行,"")))</f>
        <v/>
      </c>
    </row>
    <row r="94" spans="1:16">
      <c r="A94" s="19"/>
      <c r="B94" s="19"/>
      <c r="C94" s="19"/>
      <c r="D94" s="19"/>
      <c r="E94" s="20"/>
      <c r="F94" s="20"/>
      <c r="G94" s="19"/>
      <c r="H94" s="19"/>
      <c r="I94" s="10" t="str" cm="1">
        <f t="array" aca="1" ref="I94" ca="1">IF(isEmptyRow,"",F_code)</f>
        <v/>
      </c>
      <c r="J94" s="10" t="str" cm="1">
        <f t="array" aca="1" ref="J94" ca="1">IF(isEmptyRow,"",INDIRECT("C"&amp;ROW())*INDIRECT("D"&amp;ROW()))</f>
        <v/>
      </c>
      <c r="K94" s="10" t="str" cm="1">
        <f t="array" aca="1" ref="K94" ca="1">IF(isEmptyRow,"",J94*2)</f>
        <v/>
      </c>
      <c r="L94" s="10" t="str" cm="1">
        <f t="array" aca="1" ref="L94" ca="1">IF(isEmptyRow,"",F_offset)</f>
        <v/>
      </c>
      <c r="M94" s="11" t="str" cm="1">
        <f t="array" aca="1" ref="M94" ca="1">IF(isEmptyRow,"",F_address)</f>
        <v/>
      </c>
      <c r="N94" s="15" cm="1">
        <f t="array" aca="1" ref="N94" ca="1">F_残</f>
        <v>158</v>
      </c>
      <c r="P94" t="str" cm="1">
        <f t="array" aca="1" ref="P94" ca="1">IF(isDataRow,テーブル定義コード_データ行,IF(isTermRow,テーブル定義コード_番兵行,IF(isCloseRow,テーブル定義コード_最終行,"")))</f>
        <v/>
      </c>
    </row>
    <row r="95" spans="1:16">
      <c r="A95" s="19"/>
      <c r="B95" s="19"/>
      <c r="C95" s="19"/>
      <c r="D95" s="19"/>
      <c r="E95" s="20"/>
      <c r="F95" s="20"/>
      <c r="G95" s="19"/>
      <c r="H95" s="19"/>
      <c r="I95" s="10" t="str" cm="1">
        <f t="array" aca="1" ref="I95" ca="1">IF(isEmptyRow,"",F_code)</f>
        <v/>
      </c>
      <c r="J95" s="10" t="str" cm="1">
        <f t="array" aca="1" ref="J95" ca="1">IF(isEmptyRow,"",INDIRECT("C"&amp;ROW())*INDIRECT("D"&amp;ROW()))</f>
        <v/>
      </c>
      <c r="K95" s="10" t="str" cm="1">
        <f t="array" aca="1" ref="K95" ca="1">IF(isEmptyRow,"",J95*2)</f>
        <v/>
      </c>
      <c r="L95" s="10" t="str" cm="1">
        <f t="array" aca="1" ref="L95" ca="1">IF(isEmptyRow,"",F_offset)</f>
        <v/>
      </c>
      <c r="M95" s="11" t="str" cm="1">
        <f t="array" aca="1" ref="M95" ca="1">IF(isEmptyRow,"",F_address)</f>
        <v/>
      </c>
      <c r="N95" s="15" cm="1">
        <f t="array" aca="1" ref="N95" ca="1">F_残</f>
        <v>158</v>
      </c>
      <c r="P95" t="str" cm="1">
        <f t="array" aca="1" ref="P95" ca="1">IF(isDataRow,テーブル定義コード_データ行,IF(isTermRow,テーブル定義コード_番兵行,IF(isCloseRow,テーブル定義コード_最終行,"")))</f>
        <v/>
      </c>
    </row>
    <row r="96" spans="1:16">
      <c r="A96" s="19"/>
      <c r="B96" s="19"/>
      <c r="C96" s="19"/>
      <c r="D96" s="19"/>
      <c r="E96" s="20"/>
      <c r="F96" s="20"/>
      <c r="G96" s="19"/>
      <c r="H96" s="19"/>
      <c r="I96" s="10" t="str" cm="1">
        <f t="array" aca="1" ref="I96" ca="1">IF(isEmptyRow,"",F_code)</f>
        <v/>
      </c>
      <c r="J96" s="10" t="str" cm="1">
        <f t="array" aca="1" ref="J96" ca="1">IF(isEmptyRow,"",INDIRECT("C"&amp;ROW())*INDIRECT("D"&amp;ROW()))</f>
        <v/>
      </c>
      <c r="K96" s="10" t="str" cm="1">
        <f t="array" aca="1" ref="K96" ca="1">IF(isEmptyRow,"",J96*2)</f>
        <v/>
      </c>
      <c r="L96" s="10" t="str" cm="1">
        <f t="array" aca="1" ref="L96" ca="1">IF(isEmptyRow,"",F_offset)</f>
        <v/>
      </c>
      <c r="M96" s="11" t="str" cm="1">
        <f t="array" aca="1" ref="M96" ca="1">IF(isEmptyRow,"",F_address)</f>
        <v/>
      </c>
      <c r="N96" s="15" cm="1">
        <f t="array" aca="1" ref="N96" ca="1">F_残</f>
        <v>158</v>
      </c>
      <c r="P96" t="str" cm="1">
        <f t="array" aca="1" ref="P96" ca="1">IF(isDataRow,テーブル定義コード_データ行,IF(isTermRow,テーブル定義コード_番兵行,IF(isCloseRow,テーブル定義コード_最終行,"")))</f>
        <v/>
      </c>
    </row>
    <row r="97" spans="1:16">
      <c r="A97" s="19"/>
      <c r="B97" s="19"/>
      <c r="C97" s="19"/>
      <c r="D97" s="19"/>
      <c r="E97" s="20"/>
      <c r="F97" s="20"/>
      <c r="G97" s="19"/>
      <c r="H97" s="19"/>
      <c r="I97" s="10" t="str" cm="1">
        <f t="array" aca="1" ref="I97" ca="1">IF(isEmptyRow,"",F_code)</f>
        <v/>
      </c>
      <c r="J97" s="10" t="str" cm="1">
        <f t="array" aca="1" ref="J97" ca="1">IF(isEmptyRow,"",INDIRECT("C"&amp;ROW())*INDIRECT("D"&amp;ROW()))</f>
        <v/>
      </c>
      <c r="K97" s="10" t="str" cm="1">
        <f t="array" aca="1" ref="K97" ca="1">IF(isEmptyRow,"",J97*2)</f>
        <v/>
      </c>
      <c r="L97" s="10" t="str" cm="1">
        <f t="array" aca="1" ref="L97" ca="1">IF(isEmptyRow,"",F_offset)</f>
        <v/>
      </c>
      <c r="M97" s="11" t="str" cm="1">
        <f t="array" aca="1" ref="M97" ca="1">IF(isEmptyRow,"",F_address)</f>
        <v/>
      </c>
      <c r="N97" s="15" cm="1">
        <f t="array" aca="1" ref="N97" ca="1">F_残</f>
        <v>158</v>
      </c>
      <c r="P97" t="str" cm="1">
        <f t="array" aca="1" ref="P97" ca="1">IF(isDataRow,テーブル定義コード_データ行,IF(isTermRow,テーブル定義コード_番兵行,IF(isCloseRow,テーブル定義コード_最終行,"")))</f>
        <v/>
      </c>
    </row>
    <row r="98" spans="1:16">
      <c r="A98" s="19"/>
      <c r="B98" s="19"/>
      <c r="C98" s="19"/>
      <c r="D98" s="19"/>
      <c r="E98" s="20"/>
      <c r="F98" s="20"/>
      <c r="G98" s="19"/>
      <c r="H98" s="19"/>
      <c r="I98" s="10" t="str" cm="1">
        <f t="array" aca="1" ref="I98" ca="1">IF(isEmptyRow,"",F_code)</f>
        <v/>
      </c>
      <c r="J98" s="10" t="str" cm="1">
        <f t="array" aca="1" ref="J98" ca="1">IF(isEmptyRow,"",INDIRECT("C"&amp;ROW())*INDIRECT("D"&amp;ROW()))</f>
        <v/>
      </c>
      <c r="K98" s="10" t="str" cm="1">
        <f t="array" aca="1" ref="K98" ca="1">IF(isEmptyRow,"",J98*2)</f>
        <v/>
      </c>
      <c r="L98" s="10" t="str" cm="1">
        <f t="array" aca="1" ref="L98" ca="1">IF(isEmptyRow,"",F_offset)</f>
        <v/>
      </c>
      <c r="M98" s="11" t="str" cm="1">
        <f t="array" aca="1" ref="M98" ca="1">IF(isEmptyRow,"",F_address)</f>
        <v/>
      </c>
      <c r="N98" s="15" cm="1">
        <f t="array" aca="1" ref="N98" ca="1">F_残</f>
        <v>158</v>
      </c>
      <c r="P98" t="str" cm="1">
        <f t="array" aca="1" ref="P98" ca="1">IF(isDataRow,テーブル定義コード_データ行,IF(isTermRow,テーブル定義コード_番兵行,IF(isCloseRow,テーブル定義コード_最終行,"")))</f>
        <v/>
      </c>
    </row>
    <row r="99" spans="1:16">
      <c r="A99" s="19"/>
      <c r="B99" s="19"/>
      <c r="C99" s="19"/>
      <c r="D99" s="19"/>
      <c r="E99" s="20"/>
      <c r="F99" s="20"/>
      <c r="G99" s="19"/>
      <c r="H99" s="19"/>
      <c r="I99" s="10" t="str" cm="1">
        <f t="array" aca="1" ref="I99" ca="1">IF(isEmptyRow,"",F_code)</f>
        <v/>
      </c>
      <c r="J99" s="10" t="str" cm="1">
        <f t="array" aca="1" ref="J99" ca="1">IF(isEmptyRow,"",INDIRECT("C"&amp;ROW())*INDIRECT("D"&amp;ROW()))</f>
        <v/>
      </c>
      <c r="K99" s="10" t="str" cm="1">
        <f t="array" aca="1" ref="K99" ca="1">IF(isEmptyRow,"",J99*2)</f>
        <v/>
      </c>
      <c r="L99" s="10" t="str" cm="1">
        <f t="array" aca="1" ref="L99" ca="1">IF(isEmptyRow,"",F_offset)</f>
        <v/>
      </c>
      <c r="M99" s="11" t="str" cm="1">
        <f t="array" aca="1" ref="M99" ca="1">IF(isEmptyRow,"",F_address)</f>
        <v/>
      </c>
      <c r="N99" s="15" cm="1">
        <f t="array" aca="1" ref="N99" ca="1">F_残</f>
        <v>158</v>
      </c>
      <c r="P99" t="str" cm="1">
        <f t="array" aca="1" ref="P99" ca="1">IF(isDataRow,テーブル定義コード_データ行,IF(isTermRow,テーブル定義コード_番兵行,IF(isCloseRow,テーブル定義コード_最終行,"")))</f>
        <v/>
      </c>
    </row>
    <row r="100" spans="1:16">
      <c r="A100" s="19"/>
      <c r="B100" s="19"/>
      <c r="C100" s="19"/>
      <c r="D100" s="19"/>
      <c r="E100" s="20"/>
      <c r="F100" s="20"/>
      <c r="G100" s="19"/>
      <c r="H100" s="19"/>
      <c r="I100" s="10" t="str" cm="1">
        <f t="array" aca="1" ref="I100" ca="1">IF(isEmptyRow,"",F_code)</f>
        <v/>
      </c>
      <c r="J100" s="10" t="str" cm="1">
        <f t="array" aca="1" ref="J100" ca="1">IF(isEmptyRow,"",INDIRECT("C"&amp;ROW())*INDIRECT("D"&amp;ROW()))</f>
        <v/>
      </c>
      <c r="K100" s="10" t="str" cm="1">
        <f t="array" aca="1" ref="K100" ca="1">IF(isEmptyRow,"",J100*2)</f>
        <v/>
      </c>
      <c r="L100" s="10" t="str" cm="1">
        <f t="array" aca="1" ref="L100" ca="1">IF(isEmptyRow,"",F_offset)</f>
        <v/>
      </c>
      <c r="M100" s="11" t="str" cm="1">
        <f t="array" aca="1" ref="M100" ca="1">IF(isEmptyRow,"",F_address)</f>
        <v/>
      </c>
      <c r="N100" s="15" cm="1">
        <f t="array" aca="1" ref="N100" ca="1">F_残</f>
        <v>158</v>
      </c>
      <c r="P100" t="str" cm="1">
        <f t="array" aca="1" ref="P100" ca="1">IF(isDataRow,テーブル定義コード_データ行,IF(isTermRow,テーブル定義コード_番兵行,IF(isCloseRow,テーブル定義コード_最終行,"")))</f>
        <v/>
      </c>
    </row>
    <row r="101" spans="1:16">
      <c r="A101" s="19"/>
      <c r="B101" s="19"/>
      <c r="C101" s="19"/>
      <c r="D101" s="19"/>
      <c r="E101" s="20"/>
      <c r="F101" s="20"/>
      <c r="G101" s="19"/>
      <c r="H101" s="19"/>
      <c r="I101" s="10" t="str" cm="1">
        <f t="array" aca="1" ref="I101" ca="1">IF(isEmptyRow,"",F_code)</f>
        <v/>
      </c>
      <c r="J101" s="10" t="str" cm="1">
        <f t="array" aca="1" ref="J101" ca="1">IF(isEmptyRow,"",INDIRECT("C"&amp;ROW())*INDIRECT("D"&amp;ROW()))</f>
        <v/>
      </c>
      <c r="K101" s="10" t="str" cm="1">
        <f t="array" aca="1" ref="K101" ca="1">IF(isEmptyRow,"",J101*2)</f>
        <v/>
      </c>
      <c r="L101" s="10" t="str" cm="1">
        <f t="array" aca="1" ref="L101" ca="1">IF(isEmptyRow,"",F_offset)</f>
        <v/>
      </c>
      <c r="M101" s="11" t="str" cm="1">
        <f t="array" aca="1" ref="M101" ca="1">IF(isEmptyRow,"",F_address)</f>
        <v/>
      </c>
      <c r="N101" s="15" cm="1">
        <f t="array" aca="1" ref="N101" ca="1">F_残</f>
        <v>158</v>
      </c>
      <c r="P101" t="str" cm="1">
        <f t="array" aca="1" ref="P101" ca="1">IF(isDataRow,テーブル定義コード_データ行,IF(isTermRow,テーブル定義コード_番兵行,IF(isCloseRow,テーブル定義コード_最終行,"")))</f>
        <v/>
      </c>
    </row>
    <row r="102" spans="1:16">
      <c r="A102" s="19"/>
      <c r="B102" s="19"/>
      <c r="C102" s="19"/>
      <c r="D102" s="19"/>
      <c r="E102" s="20"/>
      <c r="F102" s="20"/>
      <c r="G102" s="19"/>
      <c r="H102" s="19"/>
      <c r="I102" s="10" t="str" cm="1">
        <f t="array" aca="1" ref="I102" ca="1">IF(isEmptyRow,"",F_code)</f>
        <v/>
      </c>
      <c r="J102" s="10" t="str" cm="1">
        <f t="array" aca="1" ref="J102" ca="1">IF(isEmptyRow,"",INDIRECT("C"&amp;ROW())*INDIRECT("D"&amp;ROW()))</f>
        <v/>
      </c>
      <c r="K102" s="10" t="str" cm="1">
        <f t="array" aca="1" ref="K102" ca="1">IF(isEmptyRow,"",J102*2)</f>
        <v/>
      </c>
      <c r="L102" s="10" t="str" cm="1">
        <f t="array" aca="1" ref="L102" ca="1">IF(isEmptyRow,"",F_offset)</f>
        <v/>
      </c>
      <c r="M102" s="11" t="str" cm="1">
        <f t="array" aca="1" ref="M102" ca="1">IF(isEmptyRow,"",F_address)</f>
        <v/>
      </c>
      <c r="N102" s="15" cm="1">
        <f t="array" aca="1" ref="N102" ca="1">F_残</f>
        <v>158</v>
      </c>
      <c r="P102" t="str" cm="1">
        <f t="array" aca="1" ref="P102" ca="1">IF(isDataRow,テーブル定義コード_データ行,IF(isTermRow,テーブル定義コード_番兵行,IF(isCloseRow,テーブル定義コード_最終行,"")))</f>
        <v/>
      </c>
    </row>
    <row r="103" spans="1:16">
      <c r="A103" s="19"/>
      <c r="B103" s="19"/>
      <c r="C103" s="19"/>
      <c r="D103" s="19"/>
      <c r="E103" s="20"/>
      <c r="F103" s="20"/>
      <c r="G103" s="19"/>
      <c r="H103" s="19"/>
      <c r="I103" s="10" t="str" cm="1">
        <f t="array" aca="1" ref="I103" ca="1">IF(isEmptyRow,"",F_code)</f>
        <v/>
      </c>
      <c r="J103" s="10" t="str" cm="1">
        <f t="array" aca="1" ref="J103" ca="1">IF(isEmptyRow,"",INDIRECT("C"&amp;ROW())*INDIRECT("D"&amp;ROW()))</f>
        <v/>
      </c>
      <c r="K103" s="10" t="str" cm="1">
        <f t="array" aca="1" ref="K103" ca="1">IF(isEmptyRow,"",J103*2)</f>
        <v/>
      </c>
      <c r="L103" s="10" t="str" cm="1">
        <f t="array" aca="1" ref="L103" ca="1">IF(isEmptyRow,"",F_offset)</f>
        <v/>
      </c>
      <c r="M103" s="11" t="str" cm="1">
        <f t="array" aca="1" ref="M103" ca="1">IF(isEmptyRow,"",F_address)</f>
        <v/>
      </c>
      <c r="N103" s="15" cm="1">
        <f t="array" aca="1" ref="N103" ca="1">F_残</f>
        <v>158</v>
      </c>
      <c r="P103" t="str" cm="1">
        <f t="array" aca="1" ref="P103" ca="1">IF(isDataRow,テーブル定義コード_データ行,IF(isTermRow,テーブル定義コード_番兵行,IF(isCloseRow,テーブル定義コード_最終行,"")))</f>
        <v/>
      </c>
    </row>
    <row r="104" spans="1:16">
      <c r="A104" s="19"/>
      <c r="B104" s="19"/>
      <c r="C104" s="19"/>
      <c r="D104" s="19"/>
      <c r="E104" s="20"/>
      <c r="F104" s="20"/>
      <c r="G104" s="19"/>
      <c r="H104" s="19"/>
      <c r="I104" s="10" t="str" cm="1">
        <f t="array" aca="1" ref="I104" ca="1">IF(isEmptyRow,"",F_code)</f>
        <v/>
      </c>
      <c r="J104" s="10" t="str" cm="1">
        <f t="array" aca="1" ref="J104" ca="1">IF(isEmptyRow,"",INDIRECT("C"&amp;ROW())*INDIRECT("D"&amp;ROW()))</f>
        <v/>
      </c>
      <c r="K104" s="10" t="str" cm="1">
        <f t="array" aca="1" ref="K104" ca="1">IF(isEmptyRow,"",J104*2)</f>
        <v/>
      </c>
      <c r="L104" s="10" t="str" cm="1">
        <f t="array" aca="1" ref="L104" ca="1">IF(isEmptyRow,"",F_offset)</f>
        <v/>
      </c>
      <c r="M104" s="11" t="str" cm="1">
        <f t="array" aca="1" ref="M104" ca="1">IF(isEmptyRow,"",F_address)</f>
        <v/>
      </c>
      <c r="N104" s="15" cm="1">
        <f t="array" aca="1" ref="N104" ca="1">F_残</f>
        <v>158</v>
      </c>
      <c r="P104" t="str" cm="1">
        <f t="array" aca="1" ref="P104" ca="1">IF(isDataRow,テーブル定義コード_データ行,IF(isTermRow,テーブル定義コード_番兵行,IF(isCloseRow,テーブル定義コード_最終行,"")))</f>
        <v/>
      </c>
    </row>
    <row r="105" spans="1:16">
      <c r="A105" s="19"/>
      <c r="B105" s="19"/>
      <c r="C105" s="19"/>
      <c r="D105" s="19"/>
      <c r="E105" s="20"/>
      <c r="F105" s="20"/>
      <c r="G105" s="19"/>
      <c r="H105" s="19"/>
      <c r="I105" s="10" t="str" cm="1">
        <f t="array" aca="1" ref="I105" ca="1">IF(isEmptyRow,"",F_code)</f>
        <v/>
      </c>
      <c r="J105" s="10" t="str" cm="1">
        <f t="array" aca="1" ref="J105" ca="1">IF(isEmptyRow,"",INDIRECT("C"&amp;ROW())*INDIRECT("D"&amp;ROW()))</f>
        <v/>
      </c>
      <c r="K105" s="10" t="str" cm="1">
        <f t="array" aca="1" ref="K105" ca="1">IF(isEmptyRow,"",J105*2)</f>
        <v/>
      </c>
      <c r="L105" s="10" t="str" cm="1">
        <f t="array" aca="1" ref="L105" ca="1">IF(isEmptyRow,"",F_offset)</f>
        <v/>
      </c>
      <c r="M105" s="11" t="str" cm="1">
        <f t="array" aca="1" ref="M105" ca="1">IF(isEmptyRow,"",F_address)</f>
        <v/>
      </c>
      <c r="N105" s="15" cm="1">
        <f t="array" aca="1" ref="N105" ca="1">F_残</f>
        <v>158</v>
      </c>
      <c r="P105" t="str" cm="1">
        <f t="array" aca="1" ref="P105" ca="1">IF(isDataRow,テーブル定義コード_データ行,IF(isTermRow,テーブル定義コード_番兵行,IF(isCloseRow,テーブル定義コード_最終行,"")))</f>
        <v/>
      </c>
    </row>
    <row r="106" spans="1:16">
      <c r="A106" s="19"/>
      <c r="B106" s="19"/>
      <c r="C106" s="19"/>
      <c r="D106" s="19"/>
      <c r="E106" s="20"/>
      <c r="F106" s="20"/>
      <c r="G106" s="19"/>
      <c r="H106" s="19"/>
      <c r="I106" s="10" t="str" cm="1">
        <f t="array" aca="1" ref="I106" ca="1">IF(isEmptyRow,"",F_code)</f>
        <v/>
      </c>
      <c r="J106" s="10" t="str" cm="1">
        <f t="array" aca="1" ref="J106" ca="1">IF(isEmptyRow,"",INDIRECT("C"&amp;ROW())*INDIRECT("D"&amp;ROW()))</f>
        <v/>
      </c>
      <c r="K106" s="10" t="str" cm="1">
        <f t="array" aca="1" ref="K106" ca="1">IF(isEmptyRow,"",J106*2)</f>
        <v/>
      </c>
      <c r="L106" s="10" t="str" cm="1">
        <f t="array" aca="1" ref="L106" ca="1">IF(isEmptyRow,"",F_offset)</f>
        <v/>
      </c>
      <c r="M106" s="11" t="str" cm="1">
        <f t="array" aca="1" ref="M106" ca="1">IF(isEmptyRow,"",F_address)</f>
        <v/>
      </c>
      <c r="N106" s="15" cm="1">
        <f t="array" aca="1" ref="N106" ca="1">F_残</f>
        <v>158</v>
      </c>
      <c r="P106" t="str" cm="1">
        <f t="array" aca="1" ref="P106" ca="1">IF(isDataRow,テーブル定義コード_データ行,IF(isTermRow,テーブル定義コード_番兵行,IF(isCloseRow,テーブル定義コード_最終行,"")))</f>
        <v/>
      </c>
    </row>
    <row r="107" spans="1:16">
      <c r="A107" s="19"/>
      <c r="B107" s="19"/>
      <c r="C107" s="19"/>
      <c r="D107" s="19"/>
      <c r="E107" s="20"/>
      <c r="F107" s="20"/>
      <c r="G107" s="19"/>
      <c r="H107" s="19"/>
      <c r="I107" s="10" t="str" cm="1">
        <f t="array" aca="1" ref="I107" ca="1">IF(isEmptyRow,"",F_code)</f>
        <v/>
      </c>
      <c r="J107" s="10" t="str" cm="1">
        <f t="array" aca="1" ref="J107" ca="1">IF(isEmptyRow,"",INDIRECT("C"&amp;ROW())*INDIRECT("D"&amp;ROW()))</f>
        <v/>
      </c>
      <c r="K107" s="10" t="str" cm="1">
        <f t="array" aca="1" ref="K107" ca="1">IF(isEmptyRow,"",J107*2)</f>
        <v/>
      </c>
      <c r="L107" s="10" t="str" cm="1">
        <f t="array" aca="1" ref="L107" ca="1">IF(isEmptyRow,"",F_offset)</f>
        <v/>
      </c>
      <c r="M107" s="11" t="str" cm="1">
        <f t="array" aca="1" ref="M107" ca="1">IF(isEmptyRow,"",F_address)</f>
        <v/>
      </c>
      <c r="N107" s="15" cm="1">
        <f t="array" aca="1" ref="N107" ca="1">F_残</f>
        <v>158</v>
      </c>
      <c r="P107" t="str" cm="1">
        <f t="array" aca="1" ref="P107" ca="1">IF(isDataRow,テーブル定義コード_データ行,IF(isTermRow,テーブル定義コード_番兵行,IF(isCloseRow,テーブル定義コード_最終行,"")))</f>
        <v/>
      </c>
    </row>
    <row r="108" spans="1:16">
      <c r="A108" s="19"/>
      <c r="B108" s="19"/>
      <c r="C108" s="19"/>
      <c r="D108" s="19"/>
      <c r="E108" s="20"/>
      <c r="F108" s="20"/>
      <c r="G108" s="19"/>
      <c r="H108" s="19"/>
      <c r="I108" s="10" t="str" cm="1">
        <f t="array" aca="1" ref="I108" ca="1">IF(isEmptyRow,"",F_code)</f>
        <v/>
      </c>
      <c r="J108" s="10" t="str" cm="1">
        <f t="array" aca="1" ref="J108" ca="1">IF(isEmptyRow,"",INDIRECT("C"&amp;ROW())*INDIRECT("D"&amp;ROW()))</f>
        <v/>
      </c>
      <c r="K108" s="10" t="str" cm="1">
        <f t="array" aca="1" ref="K108" ca="1">IF(isEmptyRow,"",J108*2)</f>
        <v/>
      </c>
      <c r="L108" s="10" t="str" cm="1">
        <f t="array" aca="1" ref="L108" ca="1">IF(isEmptyRow,"",F_offset)</f>
        <v/>
      </c>
      <c r="M108" s="11" t="str" cm="1">
        <f t="array" aca="1" ref="M108" ca="1">IF(isEmptyRow,"",F_address)</f>
        <v/>
      </c>
      <c r="N108" s="15" cm="1">
        <f t="array" aca="1" ref="N108" ca="1">F_残</f>
        <v>158</v>
      </c>
      <c r="P108" t="str" cm="1">
        <f t="array" aca="1" ref="P108" ca="1">IF(isDataRow,テーブル定義コード_データ行,IF(isTermRow,テーブル定義コード_番兵行,IF(isCloseRow,テーブル定義コード_最終行,"")))</f>
        <v/>
      </c>
    </row>
    <row r="109" spans="1:16">
      <c r="A109" s="19"/>
      <c r="B109" s="19"/>
      <c r="C109" s="19"/>
      <c r="D109" s="19"/>
      <c r="E109" s="20"/>
      <c r="F109" s="20"/>
      <c r="G109" s="19"/>
      <c r="H109" s="19"/>
      <c r="I109" s="10" t="str" cm="1">
        <f t="array" aca="1" ref="I109" ca="1">IF(isEmptyRow,"",F_code)</f>
        <v/>
      </c>
      <c r="J109" s="10" t="str" cm="1">
        <f t="array" aca="1" ref="J109" ca="1">IF(isEmptyRow,"",INDIRECT("C"&amp;ROW())*INDIRECT("D"&amp;ROW()))</f>
        <v/>
      </c>
      <c r="K109" s="10" t="str" cm="1">
        <f t="array" aca="1" ref="K109" ca="1">IF(isEmptyRow,"",J109*2)</f>
        <v/>
      </c>
      <c r="L109" s="10" t="str" cm="1">
        <f t="array" aca="1" ref="L109" ca="1">IF(isEmptyRow,"",F_offset)</f>
        <v/>
      </c>
      <c r="M109" s="11" t="str" cm="1">
        <f t="array" aca="1" ref="M109" ca="1">IF(isEmptyRow,"",F_address)</f>
        <v/>
      </c>
      <c r="N109" s="15" cm="1">
        <f t="array" aca="1" ref="N109" ca="1">F_残</f>
        <v>158</v>
      </c>
      <c r="P109" t="str" cm="1">
        <f t="array" aca="1" ref="P109" ca="1">IF(isDataRow,テーブル定義コード_データ行,IF(isTermRow,テーブル定義コード_番兵行,IF(isCloseRow,テーブル定義コード_最終行,"")))</f>
        <v/>
      </c>
    </row>
    <row r="110" spans="1:16">
      <c r="A110" s="19"/>
      <c r="B110" s="19"/>
      <c r="C110" s="19"/>
      <c r="D110" s="19"/>
      <c r="E110" s="20"/>
      <c r="F110" s="20"/>
      <c r="G110" s="19"/>
      <c r="H110" s="19"/>
      <c r="I110" s="10" t="str" cm="1">
        <f t="array" aca="1" ref="I110" ca="1">IF(isEmptyRow,"",F_code)</f>
        <v/>
      </c>
      <c r="J110" s="10" t="str" cm="1">
        <f t="array" aca="1" ref="J110" ca="1">IF(isEmptyRow,"",INDIRECT("C"&amp;ROW())*INDIRECT("D"&amp;ROW()))</f>
        <v/>
      </c>
      <c r="K110" s="10" t="str" cm="1">
        <f t="array" aca="1" ref="K110" ca="1">IF(isEmptyRow,"",J110*2)</f>
        <v/>
      </c>
      <c r="L110" s="10" t="str" cm="1">
        <f t="array" aca="1" ref="L110" ca="1">IF(isEmptyRow,"",F_offset)</f>
        <v/>
      </c>
      <c r="M110" s="11" t="str" cm="1">
        <f t="array" aca="1" ref="M110" ca="1">IF(isEmptyRow,"",F_address)</f>
        <v/>
      </c>
      <c r="N110" s="15" cm="1">
        <f t="array" aca="1" ref="N110" ca="1">F_残</f>
        <v>158</v>
      </c>
      <c r="P110" t="str" cm="1">
        <f t="array" aca="1" ref="P110" ca="1">IF(isDataRow,テーブル定義コード_データ行,IF(isTermRow,テーブル定義コード_番兵行,IF(isCloseRow,テーブル定義コード_最終行,"")))</f>
        <v/>
      </c>
    </row>
    <row r="111" spans="1:16">
      <c r="A111" s="19"/>
      <c r="B111" s="19"/>
      <c r="C111" s="19"/>
      <c r="D111" s="19"/>
      <c r="E111" s="20"/>
      <c r="F111" s="20"/>
      <c r="G111" s="19"/>
      <c r="H111" s="19"/>
      <c r="I111" s="10" t="str" cm="1">
        <f t="array" aca="1" ref="I111" ca="1">IF(isEmptyRow,"",F_code)</f>
        <v/>
      </c>
      <c r="J111" s="10" t="str" cm="1">
        <f t="array" aca="1" ref="J111" ca="1">IF(isEmptyRow,"",INDIRECT("C"&amp;ROW())*INDIRECT("D"&amp;ROW()))</f>
        <v/>
      </c>
      <c r="K111" s="10" t="str" cm="1">
        <f t="array" aca="1" ref="K111" ca="1">IF(isEmptyRow,"",J111*2)</f>
        <v/>
      </c>
      <c r="L111" s="10" t="str" cm="1">
        <f t="array" aca="1" ref="L111" ca="1">IF(isEmptyRow,"",F_offset)</f>
        <v/>
      </c>
      <c r="M111" s="11" t="str" cm="1">
        <f t="array" aca="1" ref="M111" ca="1">IF(isEmptyRow,"",F_address)</f>
        <v/>
      </c>
      <c r="N111" s="15" cm="1">
        <f t="array" aca="1" ref="N111" ca="1">F_残</f>
        <v>158</v>
      </c>
      <c r="P111" t="str" cm="1">
        <f t="array" aca="1" ref="P111" ca="1">IF(isDataRow,テーブル定義コード_データ行,IF(isTermRow,テーブル定義コード_番兵行,IF(isCloseRow,テーブル定義コード_最終行,"")))</f>
        <v/>
      </c>
    </row>
    <row r="112" spans="1:16">
      <c r="A112" s="19"/>
      <c r="B112" s="19"/>
      <c r="C112" s="19"/>
      <c r="D112" s="19"/>
      <c r="E112" s="20"/>
      <c r="F112" s="20"/>
      <c r="G112" s="19"/>
      <c r="H112" s="19"/>
      <c r="I112" s="10" t="str" cm="1">
        <f t="array" aca="1" ref="I112" ca="1">IF(isEmptyRow,"",F_code)</f>
        <v/>
      </c>
      <c r="J112" s="10" t="str" cm="1">
        <f t="array" aca="1" ref="J112" ca="1">IF(isEmptyRow,"",INDIRECT("C"&amp;ROW())*INDIRECT("D"&amp;ROW()))</f>
        <v/>
      </c>
      <c r="K112" s="10" t="str" cm="1">
        <f t="array" aca="1" ref="K112" ca="1">IF(isEmptyRow,"",J112*2)</f>
        <v/>
      </c>
      <c r="L112" s="10" t="str" cm="1">
        <f t="array" aca="1" ref="L112" ca="1">IF(isEmptyRow,"",F_offset)</f>
        <v/>
      </c>
      <c r="M112" s="11" t="str" cm="1">
        <f t="array" aca="1" ref="M112" ca="1">IF(isEmptyRow,"",F_address)</f>
        <v/>
      </c>
      <c r="N112" s="15" cm="1">
        <f t="array" aca="1" ref="N112" ca="1">F_残</f>
        <v>158</v>
      </c>
      <c r="P112" t="str" cm="1">
        <f t="array" aca="1" ref="P112" ca="1">IF(isDataRow,テーブル定義コード_データ行,IF(isTermRow,テーブル定義コード_番兵行,IF(isCloseRow,テーブル定義コード_最終行,"")))</f>
        <v/>
      </c>
    </row>
    <row r="113" spans="1:16">
      <c r="A113" s="19"/>
      <c r="B113" s="19"/>
      <c r="C113" s="19"/>
      <c r="D113" s="19"/>
      <c r="E113" s="20"/>
      <c r="F113" s="20"/>
      <c r="G113" s="19"/>
      <c r="H113" s="19"/>
      <c r="I113" s="10" t="str" cm="1">
        <f t="array" aca="1" ref="I113" ca="1">IF(isEmptyRow,"",F_code)</f>
        <v/>
      </c>
      <c r="J113" s="10" t="str" cm="1">
        <f t="array" aca="1" ref="J113" ca="1">IF(isEmptyRow,"",INDIRECT("C"&amp;ROW())*INDIRECT("D"&amp;ROW()))</f>
        <v/>
      </c>
      <c r="K113" s="10" t="str" cm="1">
        <f t="array" aca="1" ref="K113" ca="1">IF(isEmptyRow,"",J113*2)</f>
        <v/>
      </c>
      <c r="L113" s="10" t="str" cm="1">
        <f t="array" aca="1" ref="L113" ca="1">IF(isEmptyRow,"",F_offset)</f>
        <v/>
      </c>
      <c r="M113" s="11" t="str" cm="1">
        <f t="array" aca="1" ref="M113" ca="1">IF(isEmptyRow,"",F_address)</f>
        <v/>
      </c>
      <c r="N113" s="15" cm="1">
        <f t="array" aca="1" ref="N113" ca="1">F_残</f>
        <v>158</v>
      </c>
      <c r="P113" t="str" cm="1">
        <f t="array" aca="1" ref="P113" ca="1">IF(isDataRow,テーブル定義コード_データ行,IF(isTermRow,テーブル定義コード_番兵行,IF(isCloseRow,テーブル定義コード_最終行,"")))</f>
        <v/>
      </c>
    </row>
    <row r="114" spans="1:16">
      <c r="A114" s="19"/>
      <c r="B114" s="19"/>
      <c r="C114" s="19"/>
      <c r="D114" s="19"/>
      <c r="E114" s="20"/>
      <c r="F114" s="20"/>
      <c r="G114" s="19"/>
      <c r="H114" s="19"/>
      <c r="I114" s="10" t="str" cm="1">
        <f t="array" aca="1" ref="I114" ca="1">IF(isEmptyRow,"",F_code)</f>
        <v/>
      </c>
      <c r="J114" s="10" t="str" cm="1">
        <f t="array" aca="1" ref="J114" ca="1">IF(isEmptyRow,"",INDIRECT("C"&amp;ROW())*INDIRECT("D"&amp;ROW()))</f>
        <v/>
      </c>
      <c r="K114" s="10" t="str" cm="1">
        <f t="array" aca="1" ref="K114" ca="1">IF(isEmptyRow,"",J114*2)</f>
        <v/>
      </c>
      <c r="L114" s="10" t="str" cm="1">
        <f t="array" aca="1" ref="L114" ca="1">IF(isEmptyRow,"",F_offset)</f>
        <v/>
      </c>
      <c r="M114" s="11" t="str" cm="1">
        <f t="array" aca="1" ref="M114" ca="1">IF(isEmptyRow,"",F_address)</f>
        <v/>
      </c>
      <c r="N114" s="15" cm="1">
        <f t="array" aca="1" ref="N114" ca="1">F_残</f>
        <v>158</v>
      </c>
      <c r="P114" t="str" cm="1">
        <f t="array" aca="1" ref="P114" ca="1">IF(isDataRow,テーブル定義コード_データ行,IF(isTermRow,テーブル定義コード_番兵行,IF(isCloseRow,テーブル定義コード_最終行,"")))</f>
        <v/>
      </c>
    </row>
    <row r="115" spans="1:16">
      <c r="A115" s="19"/>
      <c r="B115" s="19"/>
      <c r="C115" s="19"/>
      <c r="D115" s="19"/>
      <c r="E115" s="20"/>
      <c r="F115" s="20"/>
      <c r="G115" s="19"/>
      <c r="H115" s="19"/>
      <c r="I115" s="10" t="str" cm="1">
        <f t="array" aca="1" ref="I115" ca="1">IF(isEmptyRow,"",F_code)</f>
        <v/>
      </c>
      <c r="J115" s="10" t="str" cm="1">
        <f t="array" aca="1" ref="J115" ca="1">IF(isEmptyRow,"",INDIRECT("C"&amp;ROW())*INDIRECT("D"&amp;ROW()))</f>
        <v/>
      </c>
      <c r="K115" s="10" t="str" cm="1">
        <f t="array" aca="1" ref="K115" ca="1">IF(isEmptyRow,"",J115*2)</f>
        <v/>
      </c>
      <c r="L115" s="10" t="str" cm="1">
        <f t="array" aca="1" ref="L115" ca="1">IF(isEmptyRow,"",F_offset)</f>
        <v/>
      </c>
      <c r="M115" s="11" t="str" cm="1">
        <f t="array" aca="1" ref="M115" ca="1">IF(isEmptyRow,"",F_address)</f>
        <v/>
      </c>
      <c r="N115" s="15" cm="1">
        <f t="array" aca="1" ref="N115" ca="1">F_残</f>
        <v>158</v>
      </c>
      <c r="P115" t="str" cm="1">
        <f t="array" aca="1" ref="P115" ca="1">IF(isDataRow,テーブル定義コード_データ行,IF(isTermRow,テーブル定義コード_番兵行,IF(isCloseRow,テーブル定義コード_最終行,"")))</f>
        <v/>
      </c>
    </row>
    <row r="116" spans="1:16">
      <c r="A116" s="19"/>
      <c r="B116" s="19"/>
      <c r="C116" s="19"/>
      <c r="D116" s="19"/>
      <c r="E116" s="20"/>
      <c r="F116" s="20"/>
      <c r="G116" s="19"/>
      <c r="H116" s="19"/>
      <c r="I116" s="10" t="str" cm="1">
        <f t="array" aca="1" ref="I116" ca="1">IF(isEmptyRow,"",F_code)</f>
        <v/>
      </c>
      <c r="J116" s="10" t="str" cm="1">
        <f t="array" aca="1" ref="J116" ca="1">IF(isEmptyRow,"",INDIRECT("C"&amp;ROW())*INDIRECT("D"&amp;ROW()))</f>
        <v/>
      </c>
      <c r="K116" s="10" t="str" cm="1">
        <f t="array" aca="1" ref="K116" ca="1">IF(isEmptyRow,"",J116*2)</f>
        <v/>
      </c>
      <c r="L116" s="10" t="str" cm="1">
        <f t="array" aca="1" ref="L116" ca="1">IF(isEmptyRow,"",F_offset)</f>
        <v/>
      </c>
      <c r="M116" s="11" t="str" cm="1">
        <f t="array" aca="1" ref="M116" ca="1">IF(isEmptyRow,"",F_address)</f>
        <v/>
      </c>
      <c r="N116" s="15" cm="1">
        <f t="array" aca="1" ref="N116" ca="1">F_残</f>
        <v>158</v>
      </c>
      <c r="P116" t="str" cm="1">
        <f t="array" aca="1" ref="P116" ca="1">IF(isDataRow,テーブル定義コード_データ行,IF(isTermRow,テーブル定義コード_番兵行,IF(isCloseRow,テーブル定義コード_最終行,"")))</f>
        <v/>
      </c>
    </row>
    <row r="117" spans="1:16">
      <c r="A117" s="19"/>
      <c r="B117" s="19"/>
      <c r="C117" s="19"/>
      <c r="D117" s="19"/>
      <c r="E117" s="20"/>
      <c r="F117" s="20"/>
      <c r="G117" s="19"/>
      <c r="H117" s="19"/>
      <c r="I117" s="10" t="str" cm="1">
        <f t="array" aca="1" ref="I117" ca="1">IF(isEmptyRow,"",F_code)</f>
        <v/>
      </c>
      <c r="J117" s="10" t="str" cm="1">
        <f t="array" aca="1" ref="J117" ca="1">IF(isEmptyRow,"",INDIRECT("C"&amp;ROW())*INDIRECT("D"&amp;ROW()))</f>
        <v/>
      </c>
      <c r="K117" s="10" t="str" cm="1">
        <f t="array" aca="1" ref="K117" ca="1">IF(isEmptyRow,"",J117*2)</f>
        <v/>
      </c>
      <c r="L117" s="10" t="str" cm="1">
        <f t="array" aca="1" ref="L117" ca="1">IF(isEmptyRow,"",F_offset)</f>
        <v/>
      </c>
      <c r="M117" s="11" t="str" cm="1">
        <f t="array" aca="1" ref="M117" ca="1">IF(isEmptyRow,"",F_address)</f>
        <v/>
      </c>
      <c r="N117" s="15" cm="1">
        <f t="array" aca="1" ref="N117" ca="1">F_残</f>
        <v>158</v>
      </c>
      <c r="P117" t="str" cm="1">
        <f t="array" aca="1" ref="P117" ca="1">IF(isDataRow,テーブル定義コード_データ行,IF(isTermRow,テーブル定義コード_番兵行,IF(isCloseRow,テーブル定義コード_最終行,"")))</f>
        <v/>
      </c>
    </row>
    <row r="118" spans="1:16">
      <c r="A118" s="19"/>
      <c r="B118" s="19"/>
      <c r="C118" s="19"/>
      <c r="D118" s="19"/>
      <c r="E118" s="20"/>
      <c r="F118" s="20"/>
      <c r="G118" s="19"/>
      <c r="H118" s="19"/>
      <c r="I118" s="10" t="str" cm="1">
        <f t="array" aca="1" ref="I118" ca="1">IF(isEmptyRow,"",F_code)</f>
        <v/>
      </c>
      <c r="J118" s="10" t="str" cm="1">
        <f t="array" aca="1" ref="J118" ca="1">IF(isEmptyRow,"",INDIRECT("C"&amp;ROW())*INDIRECT("D"&amp;ROW()))</f>
        <v/>
      </c>
      <c r="K118" s="10" t="str" cm="1">
        <f t="array" aca="1" ref="K118" ca="1">IF(isEmptyRow,"",J118*2)</f>
        <v/>
      </c>
      <c r="L118" s="10" t="str" cm="1">
        <f t="array" aca="1" ref="L118" ca="1">IF(isEmptyRow,"",F_offset)</f>
        <v/>
      </c>
      <c r="M118" s="11" t="str" cm="1">
        <f t="array" aca="1" ref="M118" ca="1">IF(isEmptyRow,"",F_address)</f>
        <v/>
      </c>
      <c r="N118" s="15" cm="1">
        <f t="array" aca="1" ref="N118" ca="1">F_残</f>
        <v>158</v>
      </c>
      <c r="P118" t="str" cm="1">
        <f t="array" aca="1" ref="P118" ca="1">IF(isDataRow,テーブル定義コード_データ行,IF(isTermRow,テーブル定義コード_番兵行,IF(isCloseRow,テーブル定義コード_最終行,"")))</f>
        <v/>
      </c>
    </row>
    <row r="119" spans="1:16">
      <c r="A119" s="19"/>
      <c r="B119" s="19"/>
      <c r="C119" s="19"/>
      <c r="D119" s="19"/>
      <c r="E119" s="20"/>
      <c r="F119" s="20"/>
      <c r="G119" s="19"/>
      <c r="H119" s="19"/>
      <c r="I119" s="10" t="str" cm="1">
        <f t="array" aca="1" ref="I119" ca="1">IF(isEmptyRow,"",F_code)</f>
        <v/>
      </c>
      <c r="J119" s="10" t="str" cm="1">
        <f t="array" aca="1" ref="J119" ca="1">IF(isEmptyRow,"",INDIRECT("C"&amp;ROW())*INDIRECT("D"&amp;ROW()))</f>
        <v/>
      </c>
      <c r="K119" s="10" t="str" cm="1">
        <f t="array" aca="1" ref="K119" ca="1">IF(isEmptyRow,"",J119*2)</f>
        <v/>
      </c>
      <c r="L119" s="10" t="str" cm="1">
        <f t="array" aca="1" ref="L119" ca="1">IF(isEmptyRow,"",F_offset)</f>
        <v/>
      </c>
      <c r="M119" s="11" t="str" cm="1">
        <f t="array" aca="1" ref="M119" ca="1">IF(isEmptyRow,"",F_address)</f>
        <v/>
      </c>
      <c r="N119" s="15" cm="1">
        <f t="array" aca="1" ref="N119" ca="1">F_残</f>
        <v>158</v>
      </c>
      <c r="P119" t="str" cm="1">
        <f t="array" aca="1" ref="P119" ca="1">IF(isDataRow,テーブル定義コード_データ行,IF(isTermRow,テーブル定義コード_番兵行,IF(isCloseRow,テーブル定義コード_最終行,"")))</f>
        <v/>
      </c>
    </row>
    <row r="120" spans="1:16">
      <c r="A120" s="19"/>
      <c r="B120" s="19"/>
      <c r="C120" s="19"/>
      <c r="D120" s="19"/>
      <c r="E120" s="20"/>
      <c r="F120" s="20"/>
      <c r="G120" s="19"/>
      <c r="H120" s="19"/>
      <c r="I120" s="10" t="str" cm="1">
        <f t="array" aca="1" ref="I120" ca="1">IF(isEmptyRow,"",F_code)</f>
        <v/>
      </c>
      <c r="J120" s="10" t="str" cm="1">
        <f t="array" aca="1" ref="J120" ca="1">IF(isEmptyRow,"",INDIRECT("C"&amp;ROW())*INDIRECT("D"&amp;ROW()))</f>
        <v/>
      </c>
      <c r="K120" s="10" t="str" cm="1">
        <f t="array" aca="1" ref="K120" ca="1">IF(isEmptyRow,"",J120*2)</f>
        <v/>
      </c>
      <c r="L120" s="10" t="str" cm="1">
        <f t="array" aca="1" ref="L120" ca="1">IF(isEmptyRow,"",F_offset)</f>
        <v/>
      </c>
      <c r="M120" s="11" t="str" cm="1">
        <f t="array" aca="1" ref="M120" ca="1">IF(isEmptyRow,"",F_address)</f>
        <v/>
      </c>
      <c r="N120" s="15" cm="1">
        <f t="array" aca="1" ref="N120" ca="1">F_残</f>
        <v>158</v>
      </c>
      <c r="P120" t="str" cm="1">
        <f t="array" aca="1" ref="P120" ca="1">IF(isDataRow,テーブル定義コード_データ行,IF(isTermRow,テーブル定義コード_番兵行,IF(isCloseRow,テーブル定義コード_最終行,"")))</f>
        <v/>
      </c>
    </row>
    <row r="121" spans="1:16">
      <c r="A121" s="19"/>
      <c r="B121" s="19"/>
      <c r="C121" s="19"/>
      <c r="D121" s="19"/>
      <c r="E121" s="20"/>
      <c r="F121" s="20"/>
      <c r="G121" s="19"/>
      <c r="H121" s="19"/>
      <c r="I121" s="10" t="str" cm="1">
        <f t="array" aca="1" ref="I121" ca="1">IF(isEmptyRow,"",F_code)</f>
        <v/>
      </c>
      <c r="J121" s="10" t="str" cm="1">
        <f t="array" aca="1" ref="J121" ca="1">IF(isEmptyRow,"",INDIRECT("C"&amp;ROW())*INDIRECT("D"&amp;ROW()))</f>
        <v/>
      </c>
      <c r="K121" s="10" t="str" cm="1">
        <f t="array" aca="1" ref="K121" ca="1">IF(isEmptyRow,"",J121*2)</f>
        <v/>
      </c>
      <c r="L121" s="10" t="str" cm="1">
        <f t="array" aca="1" ref="L121" ca="1">IF(isEmptyRow,"",F_offset)</f>
        <v/>
      </c>
      <c r="M121" s="11" t="str" cm="1">
        <f t="array" aca="1" ref="M121" ca="1">IF(isEmptyRow,"",F_address)</f>
        <v/>
      </c>
      <c r="N121" s="15" cm="1">
        <f t="array" aca="1" ref="N121" ca="1">F_残</f>
        <v>158</v>
      </c>
      <c r="P121" t="str" cm="1">
        <f t="array" aca="1" ref="P121" ca="1">IF(isDataRow,テーブル定義コード_データ行,IF(isTermRow,テーブル定義コード_番兵行,IF(isCloseRow,テーブル定義コード_最終行,"")))</f>
        <v/>
      </c>
    </row>
    <row r="122" spans="1:16">
      <c r="A122" s="19"/>
      <c r="B122" s="19"/>
      <c r="C122" s="19"/>
      <c r="D122" s="19"/>
      <c r="E122" s="20"/>
      <c r="F122" s="20"/>
      <c r="G122" s="19"/>
      <c r="H122" s="19"/>
      <c r="I122" s="10" t="str" cm="1">
        <f t="array" aca="1" ref="I122" ca="1">IF(isEmptyRow,"",F_code)</f>
        <v/>
      </c>
      <c r="J122" s="10" t="str" cm="1">
        <f t="array" aca="1" ref="J122" ca="1">IF(isEmptyRow,"",INDIRECT("C"&amp;ROW())*INDIRECT("D"&amp;ROW()))</f>
        <v/>
      </c>
      <c r="K122" s="10" t="str" cm="1">
        <f t="array" aca="1" ref="K122" ca="1">IF(isEmptyRow,"",J122*2)</f>
        <v/>
      </c>
      <c r="L122" s="10" t="str" cm="1">
        <f t="array" aca="1" ref="L122" ca="1">IF(isEmptyRow,"",F_offset)</f>
        <v/>
      </c>
      <c r="M122" s="11" t="str" cm="1">
        <f t="array" aca="1" ref="M122" ca="1">IF(isEmptyRow,"",F_address)</f>
        <v/>
      </c>
      <c r="N122" s="15" cm="1">
        <f t="array" aca="1" ref="N122" ca="1">F_残</f>
        <v>158</v>
      </c>
      <c r="P122" t="str" cm="1">
        <f t="array" aca="1" ref="P122" ca="1">IF(isDataRow,テーブル定義コード_データ行,IF(isTermRow,テーブル定義コード_番兵行,IF(isCloseRow,テーブル定義コード_最終行,"")))</f>
        <v/>
      </c>
    </row>
    <row r="123" spans="1:16">
      <c r="A123" s="19"/>
      <c r="B123" s="19"/>
      <c r="C123" s="19"/>
      <c r="D123" s="19"/>
      <c r="E123" s="20"/>
      <c r="F123" s="20"/>
      <c r="G123" s="19"/>
      <c r="H123" s="19"/>
      <c r="I123" s="10" t="str" cm="1">
        <f t="array" aca="1" ref="I123" ca="1">IF(isEmptyRow,"",F_code)</f>
        <v/>
      </c>
      <c r="J123" s="10" t="str" cm="1">
        <f t="array" aca="1" ref="J123" ca="1">IF(isEmptyRow,"",INDIRECT("C"&amp;ROW())*INDIRECT("D"&amp;ROW()))</f>
        <v/>
      </c>
      <c r="K123" s="10" t="str" cm="1">
        <f t="array" aca="1" ref="K123" ca="1">IF(isEmptyRow,"",J123*2)</f>
        <v/>
      </c>
      <c r="L123" s="10" t="str" cm="1">
        <f t="array" aca="1" ref="L123" ca="1">IF(isEmptyRow,"",F_offset)</f>
        <v/>
      </c>
      <c r="M123" s="11" t="str" cm="1">
        <f t="array" aca="1" ref="M123" ca="1">IF(isEmptyRow,"",F_address)</f>
        <v/>
      </c>
      <c r="N123" s="15" cm="1">
        <f t="array" aca="1" ref="N123" ca="1">F_残</f>
        <v>158</v>
      </c>
      <c r="P123" t="str" cm="1">
        <f t="array" aca="1" ref="P123" ca="1">IF(isDataRow,テーブル定義コード_データ行,IF(isTermRow,テーブル定義コード_番兵行,IF(isCloseRow,テーブル定義コード_最終行,"")))</f>
        <v/>
      </c>
    </row>
    <row r="124" spans="1:16">
      <c r="A124" s="19"/>
      <c r="B124" s="19"/>
      <c r="C124" s="19"/>
      <c r="D124" s="19"/>
      <c r="E124" s="20"/>
      <c r="F124" s="20"/>
      <c r="G124" s="19"/>
      <c r="H124" s="19"/>
      <c r="I124" s="10" t="str" cm="1">
        <f t="array" aca="1" ref="I124" ca="1">IF(isEmptyRow,"",F_code)</f>
        <v/>
      </c>
      <c r="J124" s="10" t="str" cm="1">
        <f t="array" aca="1" ref="J124" ca="1">IF(isEmptyRow,"",INDIRECT("C"&amp;ROW())*INDIRECT("D"&amp;ROW()))</f>
        <v/>
      </c>
      <c r="K124" s="10" t="str" cm="1">
        <f t="array" aca="1" ref="K124" ca="1">IF(isEmptyRow,"",J124*2)</f>
        <v/>
      </c>
      <c r="L124" s="10" t="str" cm="1">
        <f t="array" aca="1" ref="L124" ca="1">IF(isEmptyRow,"",F_offset)</f>
        <v/>
      </c>
      <c r="M124" s="11" t="str" cm="1">
        <f t="array" aca="1" ref="M124" ca="1">IF(isEmptyRow,"",F_address)</f>
        <v/>
      </c>
      <c r="N124" s="15" cm="1">
        <f t="array" aca="1" ref="N124" ca="1">F_残</f>
        <v>158</v>
      </c>
      <c r="P124" t="str" cm="1">
        <f t="array" aca="1" ref="P124" ca="1">IF(isDataRow,テーブル定義コード_データ行,IF(isTermRow,テーブル定義コード_番兵行,IF(isCloseRow,テーブル定義コード_最終行,"")))</f>
        <v/>
      </c>
    </row>
    <row r="125" spans="1:16">
      <c r="A125" s="19"/>
      <c r="B125" s="19"/>
      <c r="C125" s="19"/>
      <c r="D125" s="19"/>
      <c r="E125" s="20"/>
      <c r="F125" s="20"/>
      <c r="G125" s="19"/>
      <c r="H125" s="19"/>
      <c r="I125" s="10" t="str" cm="1">
        <f t="array" aca="1" ref="I125" ca="1">IF(isEmptyRow,"",F_code)</f>
        <v/>
      </c>
      <c r="J125" s="10" t="str" cm="1">
        <f t="array" aca="1" ref="J125" ca="1">IF(isEmptyRow,"",INDIRECT("C"&amp;ROW())*INDIRECT("D"&amp;ROW()))</f>
        <v/>
      </c>
      <c r="K125" s="10" t="str" cm="1">
        <f t="array" aca="1" ref="K125" ca="1">IF(isEmptyRow,"",J125*2)</f>
        <v/>
      </c>
      <c r="L125" s="10" t="str" cm="1">
        <f t="array" aca="1" ref="L125" ca="1">IF(isEmptyRow,"",F_offset)</f>
        <v/>
      </c>
      <c r="M125" s="11" t="str" cm="1">
        <f t="array" aca="1" ref="M125" ca="1">IF(isEmptyRow,"",F_address)</f>
        <v/>
      </c>
      <c r="N125" s="15" cm="1">
        <f t="array" aca="1" ref="N125" ca="1">F_残</f>
        <v>158</v>
      </c>
      <c r="P125" t="str" cm="1">
        <f t="array" aca="1" ref="P125" ca="1">IF(isDataRow,テーブル定義コード_データ行,IF(isTermRow,テーブル定義コード_番兵行,IF(isCloseRow,テーブル定義コード_最終行,"")))</f>
        <v/>
      </c>
    </row>
    <row r="126" spans="1:16">
      <c r="A126" s="19"/>
      <c r="B126" s="19"/>
      <c r="C126" s="19"/>
      <c r="D126" s="19"/>
      <c r="E126" s="20"/>
      <c r="F126" s="20"/>
      <c r="G126" s="19"/>
      <c r="H126" s="19"/>
      <c r="I126" s="10" t="str" cm="1">
        <f t="array" aca="1" ref="I126" ca="1">IF(isEmptyRow,"",F_code)</f>
        <v/>
      </c>
      <c r="J126" s="10" t="str" cm="1">
        <f t="array" aca="1" ref="J126" ca="1">IF(isEmptyRow,"",INDIRECT("C"&amp;ROW())*INDIRECT("D"&amp;ROW()))</f>
        <v/>
      </c>
      <c r="K126" s="10" t="str" cm="1">
        <f t="array" aca="1" ref="K126" ca="1">IF(isEmptyRow,"",J126*2)</f>
        <v/>
      </c>
      <c r="L126" s="10" t="str" cm="1">
        <f t="array" aca="1" ref="L126" ca="1">IF(isEmptyRow,"",F_offset)</f>
        <v/>
      </c>
      <c r="M126" s="11" t="str" cm="1">
        <f t="array" aca="1" ref="M126" ca="1">IF(isEmptyRow,"",F_address)</f>
        <v/>
      </c>
      <c r="N126" s="15" cm="1">
        <f t="array" aca="1" ref="N126" ca="1">F_残</f>
        <v>158</v>
      </c>
      <c r="P126" t="str" cm="1">
        <f t="array" aca="1" ref="P126" ca="1">IF(isDataRow,テーブル定義コード_データ行,IF(isTermRow,テーブル定義コード_番兵行,IF(isCloseRow,テーブル定義コード_最終行,"")))</f>
        <v/>
      </c>
    </row>
    <row r="127" spans="1:16">
      <c r="A127" s="21"/>
      <c r="B127" s="21"/>
      <c r="C127" s="21"/>
      <c r="D127" s="21"/>
      <c r="E127" s="22"/>
      <c r="F127" s="22"/>
      <c r="G127" s="21"/>
      <c r="H127" s="21"/>
      <c r="I127" s="12" t="str" cm="1">
        <f t="array" aca="1" ref="I127" ca="1">IF(isEmptyRow,"",F_code)</f>
        <v/>
      </c>
      <c r="J127" s="12" t="str" cm="1">
        <f t="array" aca="1" ref="J127" ca="1">IF(isEmptyRow,"",INDIRECT("C"&amp;ROW())*INDIRECT("D"&amp;ROW()))</f>
        <v/>
      </c>
      <c r="K127" s="12" t="str" cm="1">
        <f t="array" aca="1" ref="K127" ca="1">IF(isEmptyRow,"",J127*2)</f>
        <v/>
      </c>
      <c r="L127" s="12" t="str" cm="1">
        <f t="array" aca="1" ref="L127" ca="1">IF(isEmptyRow,"",F_offset)</f>
        <v/>
      </c>
      <c r="M127" s="13" t="str" cm="1">
        <f t="array" aca="1" ref="M127" ca="1">IF(isEmptyRow,"",F_address)</f>
        <v/>
      </c>
      <c r="N127" s="16" cm="1">
        <f t="array" aca="1" ref="N127" ca="1">F_残</f>
        <v>158</v>
      </c>
      <c r="P127" t="str" cm="1">
        <f t="array" aca="1" ref="P127" ca="1">IF(isDataRow,テーブル定義コード_データ行,IF(isTermRow,テーブル定義コード_番兵行,IF(isCloseRow,テーブル定義コード_最終行,"")))</f>
        <v/>
      </c>
    </row>
  </sheetData>
  <sheetProtection formatCells="0" formatColumns="0" formatRows="0" autoFilter="0"/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2EADE7-2A49-45D4-9762-C5430B3F859B}">
          <x14:formula1>
            <xm:f>表記フォーマット!$A$2:$A$126</xm:f>
          </x14:formula1>
          <xm:sqref>G2:G127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2E0B-D2E1-4424-82F3-0FC87340FC78}">
  <dimension ref="A1:P127"/>
  <sheetViews>
    <sheetView workbookViewId="0">
      <pane ySplit="1" topLeftCell="A2" activePane="bottomLeft" state="frozen"/>
      <selection activeCell="A2" sqref="A2"/>
      <selection pane="bottomLeft" activeCell="O1" sqref="O1"/>
    </sheetView>
  </sheetViews>
  <sheetFormatPr defaultRowHeight="14.25"/>
  <cols>
    <col min="1" max="1" width="24.7109375" bestFit="1" customWidth="1"/>
    <col min="2" max="2" width="30.42578125" bestFit="1" customWidth="1"/>
    <col min="3" max="3" width="5.42578125" bestFit="1" customWidth="1"/>
    <col min="4" max="4" width="7" bestFit="1" customWidth="1"/>
    <col min="5" max="6" width="7.140625" style="1" customWidth="1"/>
    <col min="7" max="7" width="12" customWidth="1"/>
    <col min="8" max="8" width="42.28515625" customWidth="1"/>
    <col min="9" max="9" width="5.42578125" bestFit="1" customWidth="1"/>
    <col min="10" max="10" width="5.7109375" bestFit="1" customWidth="1"/>
    <col min="11" max="11" width="4.5703125" bestFit="1" customWidth="1"/>
    <col min="12" max="12" width="7.5703125" bestFit="1" customWidth="1"/>
    <col min="13" max="14" width="9.140625" style="1"/>
  </cols>
  <sheetData>
    <row r="1" spans="1:16">
      <c r="A1" s="5" t="s">
        <v>2</v>
      </c>
      <c r="B1" s="6" t="s">
        <v>3</v>
      </c>
      <c r="C1" s="6" t="s">
        <v>0</v>
      </c>
      <c r="D1" s="6" t="s">
        <v>1</v>
      </c>
      <c r="E1" s="7" t="s">
        <v>4</v>
      </c>
      <c r="F1" s="7" t="s">
        <v>5</v>
      </c>
      <c r="G1" s="6" t="s">
        <v>6</v>
      </c>
      <c r="H1" s="6" t="s">
        <v>8</v>
      </c>
      <c r="I1" s="6" t="s">
        <v>7</v>
      </c>
      <c r="J1" s="6" t="s">
        <v>316</v>
      </c>
      <c r="K1" s="6" t="s">
        <v>315</v>
      </c>
      <c r="L1" s="6" t="s">
        <v>314</v>
      </c>
      <c r="M1" s="7" t="s">
        <v>317</v>
      </c>
      <c r="N1" s="7" t="s">
        <v>318</v>
      </c>
      <c r="O1" s="2" t="str" cm="1">
        <f t="array" aca="1" ref="O1" ca="1">テーブル定義コード_全体</f>
        <v xml:space="preserve">_x000D_
// SWRTコマンド3のデータ_x000D_
const struct swrt_address_tag	swrt_3[] = {_x000D_
	{(UC*)&amp;PUMP_SwrtData.FL_target,						4*1},	//   0	300h	_x000D_
	{(UC*)&amp;PUMP_SwrtData.FL_current,					4*1},	//   8	308h	_x000D_
	{(UC*)&amp;PUMP_SwrtData.PerrL,							4*1},	//  16	310h	_x000D_
	{(UC*)&amp;PUMP_SwrtData.PerrE,							4*1},	//  24	318h	_x000D_
	{(UC*)&amp;PUMP_SwrtData.deltaP,						4*1},	//  32	320h	_x000D_
	{(UC*)&amp;PUMP_SwrtData.B_FLo,							4*1},	//  40	328h	_x000D_
	{(UC*)&amp;PUMP_SwrtData.B_Alpha1,						4*1},	//  48	330h	_x000D_
	{(UC*)&amp;PUMP_SwrtData.B_Alpha2,						4*1},	//  56	338h	_x000D_
	{(UC*)&amp;PUMP_SwrtData.B_FL_fix,						4*1},	//  64	340h	_x000D_
	{(UC*)&amp;PUMP_SwrtData.C_FLo,							4*1},	//  72	348h	_x000D_
	{(UC*)&amp;PUMP_SwrtData.C_Alpha1,						4*1},	//  80	350h	_x000D_
	{(UC*)&amp;PUMP_SwrtData.C_Alpha2,						4*1},	//  88	358h	_x000D_
	{(UC*)&amp;PUMP_SwrtData.C_FL_fix,						4*1},	//  96	360h	_x000D_
	{(UC*)&amp;PUMP_SwrtData.FL_sys_max,					4*1},	// 104	368h	_x000D_
	{(UC*)&amp;PUMP_SwrtData.FL_hyd_max,					4*1},	// 112	370h	_x000D_
	{(UC*)&amp;PUMP_SwrtData.FL_min,						4*1},	// 120	378h	_x000D_
	{(UC*)&amp;PUMP_SwrtData.fluid_type,					1*1},	// 128	380h	_x000D_
	{(UC*)&amp;PUMP_SwrtData.brine_type,					1*1},	// 130	382h	_x000D_
	{(UC*)&amp;PUMP_SwrtData.hex_hp_idx,					1*1},	// 132	384h	_x000D_
	{0,0}_x000D_
};_x000D_
</v>
      </c>
      <c r="P1" t="str" cm="1">
        <f t="array" aca="1" ref="P1" ca="1">テーブル定義コード_先頭行</f>
        <v>_x000D_
// SWRTコマンド3のデータ_x000D_
const struct swrt_address_tag	swrt_3[] = {</v>
      </c>
    </row>
    <row r="2" spans="1:16">
      <c r="A2" s="17" t="s">
        <v>416</v>
      </c>
      <c r="B2" s="17" t="s">
        <v>393</v>
      </c>
      <c r="C2" s="17">
        <v>4</v>
      </c>
      <c r="D2" s="17">
        <v>1</v>
      </c>
      <c r="E2" s="18" t="s">
        <v>413</v>
      </c>
      <c r="F2" s="18"/>
      <c r="G2" s="17" t="s">
        <v>414</v>
      </c>
      <c r="H2" s="17"/>
      <c r="I2" s="8" cm="1">
        <f t="array" aca="1" ref="I2" ca="1">IF(isEmptyRow,"",F_code)</f>
        <v>240</v>
      </c>
      <c r="J2" s="8" cm="1">
        <f t="array" aca="1" ref="J2" ca="1">IF(isEmptyRow,"",INDIRECT("C"&amp;ROW())*INDIRECT("D"&amp;ROW()))</f>
        <v>4</v>
      </c>
      <c r="K2" s="8" cm="1">
        <f t="array" aca="1" ref="K2" ca="1">IF(isEmptyRow,"",J2*2)</f>
        <v>8</v>
      </c>
      <c r="L2" s="8" cm="1">
        <f t="array" aca="1" ref="L2" ca="1">IF(isEmptyRow,"",F_offset)</f>
        <v>0</v>
      </c>
      <c r="M2" s="9" t="str" cm="1">
        <f t="array" aca="1" ref="M2" ca="1">IF(isEmptyRow,"",F_address)</f>
        <v>300</v>
      </c>
      <c r="N2" s="14" cm="1">
        <f t="array" aca="1" ref="N2" ca="1">F_残</f>
        <v>240</v>
      </c>
      <c r="P2" t="str" cm="1">
        <f t="array" aca="1" ref="P2" ca="1">IF(isDataRow,テーブル定義コード_データ行,IF(isTermRow,テーブル定義コード_番兵行,IF(isCloseRow,テーブル定義コード_最終行,"")))</f>
        <v xml:space="preserve">	{(UC*)&amp;PUMP_SwrtData.FL_target,						4*1},	//   0	300h	</v>
      </c>
    </row>
    <row r="3" spans="1:16">
      <c r="A3" s="19" t="s">
        <v>417</v>
      </c>
      <c r="B3" s="19" t="s">
        <v>394</v>
      </c>
      <c r="C3" s="19">
        <v>4</v>
      </c>
      <c r="D3" s="19">
        <v>1</v>
      </c>
      <c r="E3" s="20" t="s">
        <v>412</v>
      </c>
      <c r="F3" s="20"/>
      <c r="G3" s="19" t="s">
        <v>414</v>
      </c>
      <c r="H3" s="19"/>
      <c r="I3" s="10" cm="1">
        <f t="array" aca="1" ref="I3" ca="1">IF(isEmptyRow,"",F_code)</f>
        <v>240</v>
      </c>
      <c r="J3" s="10" cm="1">
        <f t="array" aca="1" ref="J3" ca="1">IF(isEmptyRow,"",INDIRECT("C"&amp;ROW())*INDIRECT("D"&amp;ROW()))</f>
        <v>4</v>
      </c>
      <c r="K3" s="10" cm="1">
        <f t="array" aca="1" ref="K3" ca="1">IF(isEmptyRow,"",J3*2)</f>
        <v>8</v>
      </c>
      <c r="L3" s="10" cm="1">
        <f t="array" aca="1" ref="L3" ca="1">IF(isEmptyRow,"",F_offset)</f>
        <v>8</v>
      </c>
      <c r="M3" s="11" t="str" cm="1">
        <f t="array" aca="1" ref="M3" ca="1">IF(isEmptyRow,"",F_address)</f>
        <v>308</v>
      </c>
      <c r="N3" s="15" cm="1">
        <f t="array" aca="1" ref="N3" ca="1">F_残</f>
        <v>232</v>
      </c>
      <c r="P3" t="str" cm="1">
        <f t="array" aca="1" ref="P3" ca="1">IF(isDataRow,テーブル定義コード_データ行,IF(isTermRow,テーブル定義コード_番兵行,IF(isCloseRow,テーブル定義コード_最終行,"")))</f>
        <v xml:space="preserve">	{(UC*)&amp;PUMP_SwrtData.FL_current,					4*1},	//   8	308h	</v>
      </c>
    </row>
    <row r="4" spans="1:16">
      <c r="A4" s="19" t="s">
        <v>419</v>
      </c>
      <c r="B4" s="19" t="s">
        <v>395</v>
      </c>
      <c r="C4" s="19">
        <v>4</v>
      </c>
      <c r="D4" s="19">
        <v>1</v>
      </c>
      <c r="E4" s="20"/>
      <c r="F4" s="20"/>
      <c r="G4" s="19" t="s">
        <v>414</v>
      </c>
      <c r="H4" s="19"/>
      <c r="I4" s="10" cm="1">
        <f t="array" aca="1" ref="I4" ca="1">IF(isEmptyRow,"",F_code)</f>
        <v>240</v>
      </c>
      <c r="J4" s="10" cm="1">
        <f t="array" aca="1" ref="J4" ca="1">IF(isEmptyRow,"",INDIRECT("C"&amp;ROW())*INDIRECT("D"&amp;ROW()))</f>
        <v>4</v>
      </c>
      <c r="K4" s="10" cm="1">
        <f t="array" aca="1" ref="K4" ca="1">IF(isEmptyRow,"",J4*2)</f>
        <v>8</v>
      </c>
      <c r="L4" s="10" cm="1">
        <f t="array" aca="1" ref="L4" ca="1">IF(isEmptyRow,"",F_offset)</f>
        <v>16</v>
      </c>
      <c r="M4" s="11" t="str" cm="1">
        <f t="array" aca="1" ref="M4" ca="1">IF(isEmptyRow,"",F_address)</f>
        <v>310</v>
      </c>
      <c r="N4" s="15" cm="1">
        <f t="array" aca="1" ref="N4" ca="1">F_残</f>
        <v>224</v>
      </c>
      <c r="P4" t="str" cm="1">
        <f t="array" aca="1" ref="P4" ca="1">IF(isDataRow,テーブル定義コード_データ行,IF(isTermRow,テーブル定義コード_番兵行,IF(isCloseRow,テーブル定義コード_最終行,"")))</f>
        <v xml:space="preserve">	{(UC*)&amp;PUMP_SwrtData.PerrL,							4*1},	//  16	310h	</v>
      </c>
    </row>
    <row r="5" spans="1:16">
      <c r="A5" s="19" t="s">
        <v>418</v>
      </c>
      <c r="B5" s="19" t="s">
        <v>396</v>
      </c>
      <c r="C5" s="19">
        <v>4</v>
      </c>
      <c r="D5" s="19">
        <v>1</v>
      </c>
      <c r="E5" s="20"/>
      <c r="F5" s="20"/>
      <c r="G5" s="19" t="s">
        <v>414</v>
      </c>
      <c r="H5" s="19"/>
      <c r="I5" s="10" cm="1">
        <f t="array" aca="1" ref="I5" ca="1">IF(isEmptyRow,"",F_code)</f>
        <v>240</v>
      </c>
      <c r="J5" s="10" cm="1">
        <f t="array" aca="1" ref="J5" ca="1">IF(isEmptyRow,"",INDIRECT("C"&amp;ROW())*INDIRECT("D"&amp;ROW()))</f>
        <v>4</v>
      </c>
      <c r="K5" s="10" cm="1">
        <f t="array" aca="1" ref="K5" ca="1">IF(isEmptyRow,"",J5*2)</f>
        <v>8</v>
      </c>
      <c r="L5" s="10" cm="1">
        <f t="array" aca="1" ref="L5" ca="1">IF(isEmptyRow,"",F_offset)</f>
        <v>24</v>
      </c>
      <c r="M5" s="11" t="str" cm="1">
        <f t="array" aca="1" ref="M5" ca="1">IF(isEmptyRow,"",F_address)</f>
        <v>318</v>
      </c>
      <c r="N5" s="15" cm="1">
        <f t="array" aca="1" ref="N5" ca="1">F_残</f>
        <v>216</v>
      </c>
      <c r="P5" t="str" cm="1">
        <f t="array" aca="1" ref="P5" ca="1">IF(isDataRow,テーブル定義コード_データ行,IF(isTermRow,テーブル定義コード_番兵行,IF(isCloseRow,テーブル定義コード_最終行,"")))</f>
        <v xml:space="preserve">	{(UC*)&amp;PUMP_SwrtData.PerrE,							4*1},	//  24	318h	</v>
      </c>
    </row>
    <row r="6" spans="1:16">
      <c r="A6" s="19" t="s">
        <v>420</v>
      </c>
      <c r="B6" s="19" t="s">
        <v>397</v>
      </c>
      <c r="C6" s="19">
        <v>4</v>
      </c>
      <c r="D6" s="19">
        <v>1</v>
      </c>
      <c r="E6" s="20"/>
      <c r="F6" s="20"/>
      <c r="G6" s="19" t="s">
        <v>414</v>
      </c>
      <c r="H6" s="19"/>
      <c r="I6" s="10" cm="1">
        <f t="array" aca="1" ref="I6" ca="1">IF(isEmptyRow,"",F_code)</f>
        <v>240</v>
      </c>
      <c r="J6" s="10" cm="1">
        <f t="array" aca="1" ref="J6" ca="1">IF(isEmptyRow,"",INDIRECT("C"&amp;ROW())*INDIRECT("D"&amp;ROW()))</f>
        <v>4</v>
      </c>
      <c r="K6" s="10" cm="1">
        <f t="array" aca="1" ref="K6" ca="1">IF(isEmptyRow,"",J6*2)</f>
        <v>8</v>
      </c>
      <c r="L6" s="10" cm="1">
        <f t="array" aca="1" ref="L6" ca="1">IF(isEmptyRow,"",F_offset)</f>
        <v>32</v>
      </c>
      <c r="M6" s="11" t="str" cm="1">
        <f t="array" aca="1" ref="M6" ca="1">IF(isEmptyRow,"",F_address)</f>
        <v>320</v>
      </c>
      <c r="N6" s="15" cm="1">
        <f t="array" aca="1" ref="N6" ca="1">F_残</f>
        <v>208</v>
      </c>
      <c r="P6" t="str" cm="1">
        <f t="array" aca="1" ref="P6" ca="1">IF(isDataRow,テーブル定義コード_データ行,IF(isTermRow,テーブル定義コード_番兵行,IF(isCloseRow,テーブル定義コード_最終行,"")))</f>
        <v xml:space="preserve">	{(UC*)&amp;PUMP_SwrtData.deltaP,						4*1},	//  32	320h	</v>
      </c>
    </row>
    <row r="7" spans="1:16">
      <c r="A7" s="19" t="s">
        <v>421</v>
      </c>
      <c r="B7" s="19" t="s">
        <v>398</v>
      </c>
      <c r="C7" s="19">
        <v>4</v>
      </c>
      <c r="D7" s="19">
        <v>1</v>
      </c>
      <c r="E7" s="20"/>
      <c r="F7" s="20"/>
      <c r="G7" s="19" t="s">
        <v>414</v>
      </c>
      <c r="H7" s="19"/>
      <c r="I7" s="10" cm="1">
        <f t="array" aca="1" ref="I7" ca="1">IF(isEmptyRow,"",F_code)</f>
        <v>240</v>
      </c>
      <c r="J7" s="10" cm="1">
        <f t="array" aca="1" ref="J7" ca="1">IF(isEmptyRow,"",INDIRECT("C"&amp;ROW())*INDIRECT("D"&amp;ROW()))</f>
        <v>4</v>
      </c>
      <c r="K7" s="10" cm="1">
        <f t="array" aca="1" ref="K7" ca="1">IF(isEmptyRow,"",J7*2)</f>
        <v>8</v>
      </c>
      <c r="L7" s="10" cm="1">
        <f t="array" aca="1" ref="L7" ca="1">IF(isEmptyRow,"",F_offset)</f>
        <v>40</v>
      </c>
      <c r="M7" s="11" t="str" cm="1">
        <f t="array" aca="1" ref="M7" ca="1">IF(isEmptyRow,"",F_address)</f>
        <v>328</v>
      </c>
      <c r="N7" s="15" cm="1">
        <f t="array" aca="1" ref="N7" ca="1">F_残</f>
        <v>200</v>
      </c>
      <c r="P7" t="str" cm="1">
        <f t="array" aca="1" ref="P7" ca="1">IF(isDataRow,テーブル定義コード_データ行,IF(isTermRow,テーブル定義コード_番兵行,IF(isCloseRow,テーブル定義コード_最終行,"")))</f>
        <v xml:space="preserve">	{(UC*)&amp;PUMP_SwrtData.B_FLo,							4*1},	//  40	328h	</v>
      </c>
    </row>
    <row r="8" spans="1:16">
      <c r="A8" s="19" t="s">
        <v>422</v>
      </c>
      <c r="B8" s="19" t="s">
        <v>399</v>
      </c>
      <c r="C8" s="19">
        <v>4</v>
      </c>
      <c r="D8" s="19">
        <v>1</v>
      </c>
      <c r="E8" s="20"/>
      <c r="F8" s="20"/>
      <c r="G8" s="19" t="s">
        <v>414</v>
      </c>
      <c r="H8" s="19"/>
      <c r="I8" s="10" cm="1">
        <f t="array" aca="1" ref="I8" ca="1">IF(isEmptyRow,"",F_code)</f>
        <v>240</v>
      </c>
      <c r="J8" s="10" cm="1">
        <f t="array" aca="1" ref="J8" ca="1">IF(isEmptyRow,"",INDIRECT("C"&amp;ROW())*INDIRECT("D"&amp;ROW()))</f>
        <v>4</v>
      </c>
      <c r="K8" s="10" cm="1">
        <f t="array" aca="1" ref="K8" ca="1">IF(isEmptyRow,"",J8*2)</f>
        <v>8</v>
      </c>
      <c r="L8" s="10" cm="1">
        <f t="array" aca="1" ref="L8" ca="1">IF(isEmptyRow,"",F_offset)</f>
        <v>48</v>
      </c>
      <c r="M8" s="11" t="str" cm="1">
        <f t="array" aca="1" ref="M8" ca="1">IF(isEmptyRow,"",F_address)</f>
        <v>330</v>
      </c>
      <c r="N8" s="15" cm="1">
        <f t="array" aca="1" ref="N8" ca="1">F_残</f>
        <v>192</v>
      </c>
      <c r="P8" t="str" cm="1">
        <f t="array" aca="1" ref="P8" ca="1">IF(isDataRow,テーブル定義コード_データ行,IF(isTermRow,テーブル定義コード_番兵行,IF(isCloseRow,テーブル定義コード_最終行,"")))</f>
        <v xml:space="preserve">	{(UC*)&amp;PUMP_SwrtData.B_Alpha1,						4*1},	//  48	330h	</v>
      </c>
    </row>
    <row r="9" spans="1:16">
      <c r="A9" s="19" t="s">
        <v>423</v>
      </c>
      <c r="B9" s="19" t="s">
        <v>400</v>
      </c>
      <c r="C9" s="19">
        <v>4</v>
      </c>
      <c r="D9" s="19">
        <v>1</v>
      </c>
      <c r="E9" s="20"/>
      <c r="F9" s="20"/>
      <c r="G9" s="19" t="s">
        <v>414</v>
      </c>
      <c r="H9" s="19"/>
      <c r="I9" s="10" cm="1">
        <f t="array" aca="1" ref="I9" ca="1">IF(isEmptyRow,"",F_code)</f>
        <v>240</v>
      </c>
      <c r="J9" s="10" cm="1">
        <f t="array" aca="1" ref="J9" ca="1">IF(isEmptyRow,"",INDIRECT("C"&amp;ROW())*INDIRECT("D"&amp;ROW()))</f>
        <v>4</v>
      </c>
      <c r="K9" s="10" cm="1">
        <f t="array" aca="1" ref="K9" ca="1">IF(isEmptyRow,"",J9*2)</f>
        <v>8</v>
      </c>
      <c r="L9" s="10" cm="1">
        <f t="array" aca="1" ref="L9" ca="1">IF(isEmptyRow,"",F_offset)</f>
        <v>56</v>
      </c>
      <c r="M9" s="11" t="str" cm="1">
        <f t="array" aca="1" ref="M9" ca="1">IF(isEmptyRow,"",F_address)</f>
        <v>338</v>
      </c>
      <c r="N9" s="15" cm="1">
        <f t="array" aca="1" ref="N9" ca="1">F_残</f>
        <v>184</v>
      </c>
      <c r="P9" t="str" cm="1">
        <f t="array" aca="1" ref="P9" ca="1">IF(isDataRow,テーブル定義コード_データ行,IF(isTermRow,テーブル定義コード_番兵行,IF(isCloseRow,テーブル定義コード_最終行,"")))</f>
        <v xml:space="preserve">	{(UC*)&amp;PUMP_SwrtData.B_Alpha2,						4*1},	//  56	338h	</v>
      </c>
    </row>
    <row r="10" spans="1:16">
      <c r="A10" s="19" t="s">
        <v>424</v>
      </c>
      <c r="B10" s="19" t="s">
        <v>401</v>
      </c>
      <c r="C10" s="19">
        <v>4</v>
      </c>
      <c r="D10" s="19">
        <v>1</v>
      </c>
      <c r="E10" s="20" t="s">
        <v>412</v>
      </c>
      <c r="F10" s="20"/>
      <c r="G10" s="19" t="s">
        <v>414</v>
      </c>
      <c r="H10" s="19"/>
      <c r="I10" s="10" cm="1">
        <f t="array" aca="1" ref="I10" ca="1">IF(isEmptyRow,"",F_code)</f>
        <v>240</v>
      </c>
      <c r="J10" s="10" cm="1">
        <f t="array" aca="1" ref="J10" ca="1">IF(isEmptyRow,"",INDIRECT("C"&amp;ROW())*INDIRECT("D"&amp;ROW()))</f>
        <v>4</v>
      </c>
      <c r="K10" s="10" cm="1">
        <f t="array" aca="1" ref="K10" ca="1">IF(isEmptyRow,"",J10*2)</f>
        <v>8</v>
      </c>
      <c r="L10" s="10" cm="1">
        <f t="array" aca="1" ref="L10" ca="1">IF(isEmptyRow,"",F_offset)</f>
        <v>64</v>
      </c>
      <c r="M10" s="11" t="str" cm="1">
        <f t="array" aca="1" ref="M10" ca="1">IF(isEmptyRow,"",F_address)</f>
        <v>340</v>
      </c>
      <c r="N10" s="15" cm="1">
        <f t="array" aca="1" ref="N10" ca="1">F_残</f>
        <v>176</v>
      </c>
      <c r="P10" t="str" cm="1">
        <f t="array" aca="1" ref="P10" ca="1">IF(isDataRow,テーブル定義コード_データ行,IF(isTermRow,テーブル定義コード_番兵行,IF(isCloseRow,テーブル定義コード_最終行,"")))</f>
        <v xml:space="preserve">	{(UC*)&amp;PUMP_SwrtData.B_FL_fix,						4*1},	//  64	340h	</v>
      </c>
    </row>
    <row r="11" spans="1:16">
      <c r="A11" s="19" t="s">
        <v>425</v>
      </c>
      <c r="B11" s="19" t="s">
        <v>402</v>
      </c>
      <c r="C11" s="19">
        <v>4</v>
      </c>
      <c r="D11" s="19">
        <v>1</v>
      </c>
      <c r="E11" s="20"/>
      <c r="F11" s="20"/>
      <c r="G11" s="19" t="s">
        <v>414</v>
      </c>
      <c r="H11" s="19"/>
      <c r="I11" s="10" cm="1">
        <f t="array" aca="1" ref="I11" ca="1">IF(isEmptyRow,"",F_code)</f>
        <v>240</v>
      </c>
      <c r="J11" s="10" cm="1">
        <f t="array" aca="1" ref="J11" ca="1">IF(isEmptyRow,"",INDIRECT("C"&amp;ROW())*INDIRECT("D"&amp;ROW()))</f>
        <v>4</v>
      </c>
      <c r="K11" s="10" cm="1">
        <f t="array" aca="1" ref="K11" ca="1">IF(isEmptyRow,"",J11*2)</f>
        <v>8</v>
      </c>
      <c r="L11" s="10" cm="1">
        <f t="array" aca="1" ref="L11" ca="1">IF(isEmptyRow,"",F_offset)</f>
        <v>72</v>
      </c>
      <c r="M11" s="11" t="str" cm="1">
        <f t="array" aca="1" ref="M11" ca="1">IF(isEmptyRow,"",F_address)</f>
        <v>348</v>
      </c>
      <c r="N11" s="15" cm="1">
        <f t="array" aca="1" ref="N11" ca="1">F_残</f>
        <v>168</v>
      </c>
      <c r="P11" t="str" cm="1">
        <f t="array" aca="1" ref="P11" ca="1">IF(isDataRow,テーブル定義コード_データ行,IF(isTermRow,テーブル定義コード_番兵行,IF(isCloseRow,テーブル定義コード_最終行,"")))</f>
        <v xml:space="preserve">	{(UC*)&amp;PUMP_SwrtData.C_FLo,							4*1},	//  72	348h	</v>
      </c>
    </row>
    <row r="12" spans="1:16">
      <c r="A12" s="19" t="s">
        <v>426</v>
      </c>
      <c r="B12" s="19" t="s">
        <v>403</v>
      </c>
      <c r="C12" s="19">
        <v>4</v>
      </c>
      <c r="D12" s="19">
        <v>1</v>
      </c>
      <c r="E12" s="20"/>
      <c r="F12" s="20"/>
      <c r="G12" s="19" t="s">
        <v>414</v>
      </c>
      <c r="H12" s="19"/>
      <c r="I12" s="10" cm="1">
        <f t="array" aca="1" ref="I12" ca="1">IF(isEmptyRow,"",F_code)</f>
        <v>240</v>
      </c>
      <c r="J12" s="10" cm="1">
        <f t="array" aca="1" ref="J12" ca="1">IF(isEmptyRow,"",INDIRECT("C"&amp;ROW())*INDIRECT("D"&amp;ROW()))</f>
        <v>4</v>
      </c>
      <c r="K12" s="10" cm="1">
        <f t="array" aca="1" ref="K12" ca="1">IF(isEmptyRow,"",J12*2)</f>
        <v>8</v>
      </c>
      <c r="L12" s="10" cm="1">
        <f t="array" aca="1" ref="L12" ca="1">IF(isEmptyRow,"",F_offset)</f>
        <v>80</v>
      </c>
      <c r="M12" s="11" t="str" cm="1">
        <f t="array" aca="1" ref="M12" ca="1">IF(isEmptyRow,"",F_address)</f>
        <v>350</v>
      </c>
      <c r="N12" s="15" cm="1">
        <f t="array" aca="1" ref="N12" ca="1">F_残</f>
        <v>160</v>
      </c>
      <c r="P12" t="str" cm="1">
        <f t="array" aca="1" ref="P12" ca="1">IF(isDataRow,テーブル定義コード_データ行,IF(isTermRow,テーブル定義コード_番兵行,IF(isCloseRow,テーブル定義コード_最終行,"")))</f>
        <v xml:space="preserve">	{(UC*)&amp;PUMP_SwrtData.C_Alpha1,						4*1},	//  80	350h	</v>
      </c>
    </row>
    <row r="13" spans="1:16">
      <c r="A13" s="19" t="s">
        <v>427</v>
      </c>
      <c r="B13" s="19" t="s">
        <v>404</v>
      </c>
      <c r="C13" s="19">
        <v>4</v>
      </c>
      <c r="D13" s="19">
        <v>1</v>
      </c>
      <c r="E13" s="20"/>
      <c r="F13" s="20"/>
      <c r="G13" s="19" t="s">
        <v>414</v>
      </c>
      <c r="H13" s="19"/>
      <c r="I13" s="10" cm="1">
        <f t="array" aca="1" ref="I13" ca="1">IF(isEmptyRow,"",F_code)</f>
        <v>240</v>
      </c>
      <c r="J13" s="10" cm="1">
        <f t="array" aca="1" ref="J13" ca="1">IF(isEmptyRow,"",INDIRECT("C"&amp;ROW())*INDIRECT("D"&amp;ROW()))</f>
        <v>4</v>
      </c>
      <c r="K13" s="10" cm="1">
        <f t="array" aca="1" ref="K13" ca="1">IF(isEmptyRow,"",J13*2)</f>
        <v>8</v>
      </c>
      <c r="L13" s="10" cm="1">
        <f t="array" aca="1" ref="L13" ca="1">IF(isEmptyRow,"",F_offset)</f>
        <v>88</v>
      </c>
      <c r="M13" s="11" t="str" cm="1">
        <f t="array" aca="1" ref="M13" ca="1">IF(isEmptyRow,"",F_address)</f>
        <v>358</v>
      </c>
      <c r="N13" s="15" cm="1">
        <f t="array" aca="1" ref="N13" ca="1">F_残</f>
        <v>152</v>
      </c>
      <c r="P13" t="str" cm="1">
        <f t="array" aca="1" ref="P13" ca="1">IF(isDataRow,テーブル定義コード_データ行,IF(isTermRow,テーブル定義コード_番兵行,IF(isCloseRow,テーブル定義コード_最終行,"")))</f>
        <v xml:space="preserve">	{(UC*)&amp;PUMP_SwrtData.C_Alpha2,						4*1},	//  88	358h	</v>
      </c>
    </row>
    <row r="14" spans="1:16">
      <c r="A14" s="19" t="s">
        <v>428</v>
      </c>
      <c r="B14" s="19" t="s">
        <v>405</v>
      </c>
      <c r="C14" s="19">
        <v>4</v>
      </c>
      <c r="D14" s="19">
        <v>1</v>
      </c>
      <c r="E14" s="20"/>
      <c r="F14" s="20"/>
      <c r="G14" s="19" t="s">
        <v>414</v>
      </c>
      <c r="H14" s="19"/>
      <c r="I14" s="10" cm="1">
        <f t="array" aca="1" ref="I14" ca="1">IF(isEmptyRow,"",F_code)</f>
        <v>240</v>
      </c>
      <c r="J14" s="10" cm="1">
        <f t="array" aca="1" ref="J14" ca="1">IF(isEmptyRow,"",INDIRECT("C"&amp;ROW())*INDIRECT("D"&amp;ROW()))</f>
        <v>4</v>
      </c>
      <c r="K14" s="10" cm="1">
        <f t="array" aca="1" ref="K14" ca="1">IF(isEmptyRow,"",J14*2)</f>
        <v>8</v>
      </c>
      <c r="L14" s="10" cm="1">
        <f t="array" aca="1" ref="L14" ca="1">IF(isEmptyRow,"",F_offset)</f>
        <v>96</v>
      </c>
      <c r="M14" s="11" t="str" cm="1">
        <f t="array" aca="1" ref="M14" ca="1">IF(isEmptyRow,"",F_address)</f>
        <v>360</v>
      </c>
      <c r="N14" s="15" cm="1">
        <f t="array" aca="1" ref="N14" ca="1">F_残</f>
        <v>144</v>
      </c>
      <c r="P14" t="str" cm="1">
        <f t="array" aca="1" ref="P14" ca="1">IF(isDataRow,テーブル定義コード_データ行,IF(isTermRow,テーブル定義コード_番兵行,IF(isCloseRow,テーブル定義コード_最終行,"")))</f>
        <v xml:space="preserve">	{(UC*)&amp;PUMP_SwrtData.C_FL_fix,						4*1},	//  96	360h	</v>
      </c>
    </row>
    <row r="15" spans="1:16">
      <c r="A15" s="19" t="s">
        <v>429</v>
      </c>
      <c r="B15" s="19" t="s">
        <v>406</v>
      </c>
      <c r="C15" s="19">
        <v>4</v>
      </c>
      <c r="D15" s="19">
        <v>1</v>
      </c>
      <c r="E15" s="20"/>
      <c r="F15" s="20"/>
      <c r="G15" s="19" t="s">
        <v>414</v>
      </c>
      <c r="H15" s="19"/>
      <c r="I15" s="10" cm="1">
        <f t="array" aca="1" ref="I15" ca="1">IF(isEmptyRow,"",F_code)</f>
        <v>240</v>
      </c>
      <c r="J15" s="10" cm="1">
        <f t="array" aca="1" ref="J15" ca="1">IF(isEmptyRow,"",INDIRECT("C"&amp;ROW())*INDIRECT("D"&amp;ROW()))</f>
        <v>4</v>
      </c>
      <c r="K15" s="10" cm="1">
        <f t="array" aca="1" ref="K15" ca="1">IF(isEmptyRow,"",J15*2)</f>
        <v>8</v>
      </c>
      <c r="L15" s="10" cm="1">
        <f t="array" aca="1" ref="L15" ca="1">IF(isEmptyRow,"",F_offset)</f>
        <v>104</v>
      </c>
      <c r="M15" s="11" t="str" cm="1">
        <f t="array" aca="1" ref="M15" ca="1">IF(isEmptyRow,"",F_address)</f>
        <v>368</v>
      </c>
      <c r="N15" s="15" cm="1">
        <f t="array" aca="1" ref="N15" ca="1">F_残</f>
        <v>136</v>
      </c>
      <c r="P15" t="str" cm="1">
        <f t="array" aca="1" ref="P15" ca="1">IF(isDataRow,テーブル定義コード_データ行,IF(isTermRow,テーブル定義コード_番兵行,IF(isCloseRow,テーブル定義コード_最終行,"")))</f>
        <v xml:space="preserve">	{(UC*)&amp;PUMP_SwrtData.FL_sys_max,					4*1},	// 104	368h	</v>
      </c>
    </row>
    <row r="16" spans="1:16">
      <c r="A16" s="19" t="s">
        <v>430</v>
      </c>
      <c r="B16" s="19" t="s">
        <v>407</v>
      </c>
      <c r="C16" s="19">
        <v>4</v>
      </c>
      <c r="D16" s="19">
        <v>1</v>
      </c>
      <c r="E16" s="20"/>
      <c r="F16" s="20"/>
      <c r="G16" s="19" t="s">
        <v>414</v>
      </c>
      <c r="H16" s="19"/>
      <c r="I16" s="10" cm="1">
        <f t="array" aca="1" ref="I16" ca="1">IF(isEmptyRow,"",F_code)</f>
        <v>240</v>
      </c>
      <c r="J16" s="10" cm="1">
        <f t="array" aca="1" ref="J16" ca="1">IF(isEmptyRow,"",INDIRECT("C"&amp;ROW())*INDIRECT("D"&amp;ROW()))</f>
        <v>4</v>
      </c>
      <c r="K16" s="10" cm="1">
        <f t="array" aca="1" ref="K16" ca="1">IF(isEmptyRow,"",J16*2)</f>
        <v>8</v>
      </c>
      <c r="L16" s="10" cm="1">
        <f t="array" aca="1" ref="L16" ca="1">IF(isEmptyRow,"",F_offset)</f>
        <v>112</v>
      </c>
      <c r="M16" s="11" t="str" cm="1">
        <f t="array" aca="1" ref="M16" ca="1">IF(isEmptyRow,"",F_address)</f>
        <v>370</v>
      </c>
      <c r="N16" s="15" cm="1">
        <f t="array" aca="1" ref="N16" ca="1">F_残</f>
        <v>128</v>
      </c>
      <c r="P16" t="str" cm="1">
        <f t="array" aca="1" ref="P16" ca="1">IF(isDataRow,テーブル定義コード_データ行,IF(isTermRow,テーブル定義コード_番兵行,IF(isCloseRow,テーブル定義コード_最終行,"")))</f>
        <v xml:space="preserve">	{(UC*)&amp;PUMP_SwrtData.FL_hyd_max,					4*1},	// 112	370h	</v>
      </c>
    </row>
    <row r="17" spans="1:16">
      <c r="A17" s="19" t="s">
        <v>431</v>
      </c>
      <c r="B17" s="19" t="s">
        <v>408</v>
      </c>
      <c r="C17" s="19">
        <v>4</v>
      </c>
      <c r="D17" s="19">
        <v>1</v>
      </c>
      <c r="E17" s="20"/>
      <c r="F17" s="20"/>
      <c r="G17" s="19" t="s">
        <v>414</v>
      </c>
      <c r="H17" s="19"/>
      <c r="I17" s="10" cm="1">
        <f t="array" aca="1" ref="I17" ca="1">IF(isEmptyRow,"",F_code)</f>
        <v>240</v>
      </c>
      <c r="J17" s="10" cm="1">
        <f t="array" aca="1" ref="J17" ca="1">IF(isEmptyRow,"",INDIRECT("C"&amp;ROW())*INDIRECT("D"&amp;ROW()))</f>
        <v>4</v>
      </c>
      <c r="K17" s="10" cm="1">
        <f t="array" aca="1" ref="K17" ca="1">IF(isEmptyRow,"",J17*2)</f>
        <v>8</v>
      </c>
      <c r="L17" s="10" cm="1">
        <f t="array" aca="1" ref="L17" ca="1">IF(isEmptyRow,"",F_offset)</f>
        <v>120</v>
      </c>
      <c r="M17" s="11" t="str" cm="1">
        <f t="array" aca="1" ref="M17" ca="1">IF(isEmptyRow,"",F_address)</f>
        <v>378</v>
      </c>
      <c r="N17" s="15" cm="1">
        <f t="array" aca="1" ref="N17" ca="1">F_残</f>
        <v>120</v>
      </c>
      <c r="P17" t="str" cm="1">
        <f t="array" aca="1" ref="P17" ca="1">IF(isDataRow,テーブル定義コード_データ行,IF(isTermRow,テーブル定義コード_番兵行,IF(isCloseRow,テーブル定義コード_最終行,"")))</f>
        <v xml:space="preserve">	{(UC*)&amp;PUMP_SwrtData.FL_min,						4*1},	// 120	378h	</v>
      </c>
    </row>
    <row r="18" spans="1:16">
      <c r="A18" s="19" t="s">
        <v>432</v>
      </c>
      <c r="B18" s="19" t="s">
        <v>409</v>
      </c>
      <c r="C18" s="19">
        <v>1</v>
      </c>
      <c r="D18" s="19">
        <v>1</v>
      </c>
      <c r="E18" s="20"/>
      <c r="F18" s="20"/>
      <c r="G18" s="19" t="s">
        <v>415</v>
      </c>
      <c r="H18" s="19"/>
      <c r="I18" s="10" cm="1">
        <f t="array" aca="1" ref="I18" ca="1">IF(isEmptyRow,"",F_code)</f>
        <v>100</v>
      </c>
      <c r="J18" s="10" cm="1">
        <f t="array" aca="1" ref="J18" ca="1">IF(isEmptyRow,"",INDIRECT("C"&amp;ROW())*INDIRECT("D"&amp;ROW()))</f>
        <v>1</v>
      </c>
      <c r="K18" s="10" cm="1">
        <f t="array" aca="1" ref="K18" ca="1">IF(isEmptyRow,"",J18*2)</f>
        <v>2</v>
      </c>
      <c r="L18" s="10" cm="1">
        <f t="array" aca="1" ref="L18" ca="1">IF(isEmptyRow,"",F_offset)</f>
        <v>128</v>
      </c>
      <c r="M18" s="11" t="str" cm="1">
        <f t="array" aca="1" ref="M18" ca="1">IF(isEmptyRow,"",F_address)</f>
        <v>380</v>
      </c>
      <c r="N18" s="15" cm="1">
        <f t="array" aca="1" ref="N18" ca="1">F_残</f>
        <v>118</v>
      </c>
      <c r="P18" t="str" cm="1">
        <f t="array" aca="1" ref="P18" ca="1">IF(isDataRow,テーブル定義コード_データ行,IF(isTermRow,テーブル定義コード_番兵行,IF(isCloseRow,テーブル定義コード_最終行,"")))</f>
        <v xml:space="preserve">	{(UC*)&amp;PUMP_SwrtData.fluid_type,					1*1},	// 128	380h	</v>
      </c>
    </row>
    <row r="19" spans="1:16">
      <c r="A19" s="19" t="s">
        <v>433</v>
      </c>
      <c r="B19" s="19" t="s">
        <v>410</v>
      </c>
      <c r="C19" s="19">
        <v>1</v>
      </c>
      <c r="D19" s="19">
        <v>1</v>
      </c>
      <c r="E19" s="20"/>
      <c r="F19" s="20"/>
      <c r="G19" s="19" t="s">
        <v>200</v>
      </c>
      <c r="H19" s="19"/>
      <c r="I19" s="10" cm="1">
        <f t="array" aca="1" ref="I19" ca="1">IF(isEmptyRow,"",F_code)</f>
        <v>100</v>
      </c>
      <c r="J19" s="10" cm="1">
        <f t="array" aca="1" ref="J19" ca="1">IF(isEmptyRow,"",INDIRECT("C"&amp;ROW())*INDIRECT("D"&amp;ROW()))</f>
        <v>1</v>
      </c>
      <c r="K19" s="10" cm="1">
        <f t="array" aca="1" ref="K19" ca="1">IF(isEmptyRow,"",J19*2)</f>
        <v>2</v>
      </c>
      <c r="L19" s="10" cm="1">
        <f t="array" aca="1" ref="L19" ca="1">IF(isEmptyRow,"",F_offset)</f>
        <v>130</v>
      </c>
      <c r="M19" s="11" t="str" cm="1">
        <f t="array" aca="1" ref="M19" ca="1">IF(isEmptyRow,"",F_address)</f>
        <v>382</v>
      </c>
      <c r="N19" s="15" cm="1">
        <f t="array" aca="1" ref="N19" ca="1">F_残</f>
        <v>116</v>
      </c>
      <c r="P19" t="str" cm="1">
        <f t="array" aca="1" ref="P19" ca="1">IF(isDataRow,テーブル定義コード_データ行,IF(isTermRow,テーブル定義コード_番兵行,IF(isCloseRow,テーブル定義コード_最終行,"")))</f>
        <v xml:space="preserve">	{(UC*)&amp;PUMP_SwrtData.brine_type,					1*1},	// 130	382h	</v>
      </c>
    </row>
    <row r="20" spans="1:16">
      <c r="A20" s="19" t="s">
        <v>434</v>
      </c>
      <c r="B20" s="19" t="s">
        <v>411</v>
      </c>
      <c r="C20" s="19">
        <v>1</v>
      </c>
      <c r="D20" s="19">
        <v>1</v>
      </c>
      <c r="E20" s="20"/>
      <c r="F20" s="20"/>
      <c r="G20" s="19" t="s">
        <v>200</v>
      </c>
      <c r="H20" s="19"/>
      <c r="I20" s="10" cm="1">
        <f t="array" aca="1" ref="I20" ca="1">IF(isEmptyRow,"",F_code)</f>
        <v>100</v>
      </c>
      <c r="J20" s="10" cm="1">
        <f t="array" aca="1" ref="J20" ca="1">IF(isEmptyRow,"",INDIRECT("C"&amp;ROW())*INDIRECT("D"&amp;ROW()))</f>
        <v>1</v>
      </c>
      <c r="K20" s="10" cm="1">
        <f t="array" aca="1" ref="K20" ca="1">IF(isEmptyRow,"",J20*2)</f>
        <v>2</v>
      </c>
      <c r="L20" s="10" cm="1">
        <f t="array" aca="1" ref="L20" ca="1">IF(isEmptyRow,"",F_offset)</f>
        <v>132</v>
      </c>
      <c r="M20" s="11" t="str" cm="1">
        <f t="array" aca="1" ref="M20" ca="1">IF(isEmptyRow,"",F_address)</f>
        <v>384</v>
      </c>
      <c r="N20" s="15" cm="1">
        <f t="array" aca="1" ref="N20" ca="1">F_残</f>
        <v>114</v>
      </c>
      <c r="P20" t="str" cm="1">
        <f t="array" aca="1" ref="P20" ca="1">IF(isDataRow,テーブル定義コード_データ行,IF(isTermRow,テーブル定義コード_番兵行,IF(isCloseRow,テーブル定義コード_最終行,"")))</f>
        <v xml:space="preserve">	{(UC*)&amp;PUMP_SwrtData.hex_hp_idx,					1*1},	// 132	384h	</v>
      </c>
    </row>
    <row r="21" spans="1:16">
      <c r="A21" s="19"/>
      <c r="B21" s="19"/>
      <c r="C21" s="19"/>
      <c r="D21" s="19"/>
      <c r="E21" s="20"/>
      <c r="F21" s="20"/>
      <c r="G21" s="19"/>
      <c r="H21" s="19"/>
      <c r="I21" s="10" t="str" cm="1">
        <f t="array" aca="1" ref="I21" ca="1">IF(isEmptyRow,"",F_code)</f>
        <v/>
      </c>
      <c r="J21" s="10" t="str" cm="1">
        <f t="array" aca="1" ref="J21" ca="1">IF(isEmptyRow,"",INDIRECT("C"&amp;ROW())*INDIRECT("D"&amp;ROW()))</f>
        <v/>
      </c>
      <c r="K21" s="10" t="str" cm="1">
        <f t="array" aca="1" ref="K21" ca="1">IF(isEmptyRow,"",J21*2)</f>
        <v/>
      </c>
      <c r="L21" s="10" t="str" cm="1">
        <f t="array" aca="1" ref="L21" ca="1">IF(isEmptyRow,"",F_offset)</f>
        <v/>
      </c>
      <c r="M21" s="11" t="str" cm="1">
        <f t="array" aca="1" ref="M21" ca="1">IF(isEmptyRow,"",F_address)</f>
        <v/>
      </c>
      <c r="N21" s="15" cm="1">
        <f t="array" aca="1" ref="N21" ca="1">F_残</f>
        <v>114</v>
      </c>
      <c r="P21" t="str" cm="1">
        <f t="array" aca="1" ref="P21" ca="1">IF(isDataRow,テーブル定義コード_データ行,IF(isTermRow,テーブル定義コード_番兵行,IF(isCloseRow,テーブル定義コード_最終行,"")))</f>
        <v xml:space="preserve">	{0,0}</v>
      </c>
    </row>
    <row r="22" spans="1:16">
      <c r="A22" s="19"/>
      <c r="B22" s="19"/>
      <c r="C22" s="19"/>
      <c r="D22" s="19"/>
      <c r="E22" s="20"/>
      <c r="F22" s="20"/>
      <c r="G22" s="19"/>
      <c r="H22" s="19"/>
      <c r="I22" s="10" t="str" cm="1">
        <f t="array" aca="1" ref="I22" ca="1">IF(isEmptyRow,"",F_code)</f>
        <v/>
      </c>
      <c r="J22" s="10" t="str" cm="1">
        <f t="array" aca="1" ref="J22" ca="1">IF(isEmptyRow,"",INDIRECT("C"&amp;ROW())*INDIRECT("D"&amp;ROW()))</f>
        <v/>
      </c>
      <c r="K22" s="10" t="str" cm="1">
        <f t="array" aca="1" ref="K22" ca="1">IF(isEmptyRow,"",J22*2)</f>
        <v/>
      </c>
      <c r="L22" s="10" t="str" cm="1">
        <f t="array" aca="1" ref="L22" ca="1">IF(isEmptyRow,"",F_offset)</f>
        <v/>
      </c>
      <c r="M22" s="11" t="str" cm="1">
        <f t="array" aca="1" ref="M22" ca="1">IF(isEmptyRow,"",F_address)</f>
        <v/>
      </c>
      <c r="N22" s="15" cm="1">
        <f t="array" aca="1" ref="N22" ca="1">F_残</f>
        <v>114</v>
      </c>
      <c r="P22" t="str" cm="1">
        <f t="array" aca="1" ref="P22" ca="1">IF(isDataRow,テーブル定義コード_データ行,IF(isTermRow,テーブル定義コード_番兵行,IF(isCloseRow,テーブル定義コード_最終行,"")))</f>
        <v xml:space="preserve">};_x000D_
</v>
      </c>
    </row>
    <row r="23" spans="1:16">
      <c r="A23" s="19"/>
      <c r="B23" s="19"/>
      <c r="C23" s="19"/>
      <c r="D23" s="19"/>
      <c r="E23" s="20"/>
      <c r="F23" s="20"/>
      <c r="G23" s="19"/>
      <c r="H23" s="19"/>
      <c r="I23" s="10" t="str" cm="1">
        <f t="array" aca="1" ref="I23" ca="1">IF(isEmptyRow,"",F_code)</f>
        <v/>
      </c>
      <c r="J23" s="10" t="str" cm="1">
        <f t="array" aca="1" ref="J23" ca="1">IF(isEmptyRow,"",INDIRECT("C"&amp;ROW())*INDIRECT("D"&amp;ROW()))</f>
        <v/>
      </c>
      <c r="K23" s="10" t="str" cm="1">
        <f t="array" aca="1" ref="K23" ca="1">IF(isEmptyRow,"",J23*2)</f>
        <v/>
      </c>
      <c r="L23" s="10" t="str" cm="1">
        <f t="array" aca="1" ref="L23" ca="1">IF(isEmptyRow,"",F_offset)</f>
        <v/>
      </c>
      <c r="M23" s="11" t="str" cm="1">
        <f t="array" aca="1" ref="M23" ca="1">IF(isEmptyRow,"",F_address)</f>
        <v/>
      </c>
      <c r="N23" s="15" cm="1">
        <f t="array" aca="1" ref="N23" ca="1">F_残</f>
        <v>114</v>
      </c>
      <c r="P23" t="str" cm="1">
        <f t="array" aca="1" ref="P23" ca="1">IF(isDataRow,テーブル定義コード_データ行,IF(isTermRow,テーブル定義コード_番兵行,IF(isCloseRow,テーブル定義コード_最終行,"")))</f>
        <v/>
      </c>
    </row>
    <row r="24" spans="1:16">
      <c r="A24" s="19"/>
      <c r="B24" s="19"/>
      <c r="C24" s="19"/>
      <c r="D24" s="19"/>
      <c r="E24" s="20"/>
      <c r="F24" s="20"/>
      <c r="G24" s="19"/>
      <c r="H24" s="19"/>
      <c r="I24" s="10" t="str" cm="1">
        <f t="array" aca="1" ref="I24" ca="1">IF(isEmptyRow,"",F_code)</f>
        <v/>
      </c>
      <c r="J24" s="10" t="str" cm="1">
        <f t="array" aca="1" ref="J24" ca="1">IF(isEmptyRow,"",INDIRECT("C"&amp;ROW())*INDIRECT("D"&amp;ROW()))</f>
        <v/>
      </c>
      <c r="K24" s="10" t="str" cm="1">
        <f t="array" aca="1" ref="K24" ca="1">IF(isEmptyRow,"",J24*2)</f>
        <v/>
      </c>
      <c r="L24" s="10" t="str" cm="1">
        <f t="array" aca="1" ref="L24" ca="1">IF(isEmptyRow,"",F_offset)</f>
        <v/>
      </c>
      <c r="M24" s="11" t="str" cm="1">
        <f t="array" aca="1" ref="M24" ca="1">IF(isEmptyRow,"",F_address)</f>
        <v/>
      </c>
      <c r="N24" s="15" cm="1">
        <f t="array" aca="1" ref="N24" ca="1">F_残</f>
        <v>114</v>
      </c>
      <c r="P24" t="str" cm="1">
        <f t="array" aca="1" ref="P24" ca="1">IF(isDataRow,テーブル定義コード_データ行,IF(isTermRow,テーブル定義コード_番兵行,IF(isCloseRow,テーブル定義コード_最終行,"")))</f>
        <v/>
      </c>
    </row>
    <row r="25" spans="1:16">
      <c r="A25" s="19"/>
      <c r="B25" s="19"/>
      <c r="C25" s="19"/>
      <c r="D25" s="19"/>
      <c r="E25" s="20"/>
      <c r="F25" s="20"/>
      <c r="G25" s="19"/>
      <c r="H25" s="19"/>
      <c r="I25" s="10" t="str" cm="1">
        <f t="array" aca="1" ref="I25" ca="1">IF(isEmptyRow,"",F_code)</f>
        <v/>
      </c>
      <c r="J25" s="10" t="str" cm="1">
        <f t="array" aca="1" ref="J25" ca="1">IF(isEmptyRow,"",INDIRECT("C"&amp;ROW())*INDIRECT("D"&amp;ROW()))</f>
        <v/>
      </c>
      <c r="K25" s="10" t="str" cm="1">
        <f t="array" aca="1" ref="K25" ca="1">IF(isEmptyRow,"",J25*2)</f>
        <v/>
      </c>
      <c r="L25" s="10" t="str" cm="1">
        <f t="array" aca="1" ref="L25" ca="1">IF(isEmptyRow,"",F_offset)</f>
        <v/>
      </c>
      <c r="M25" s="11" t="str" cm="1">
        <f t="array" aca="1" ref="M25" ca="1">IF(isEmptyRow,"",F_address)</f>
        <v/>
      </c>
      <c r="N25" s="15" cm="1">
        <f t="array" aca="1" ref="N25" ca="1">F_残</f>
        <v>114</v>
      </c>
      <c r="P25" t="str" cm="1">
        <f t="array" aca="1" ref="P25" ca="1">IF(isDataRow,テーブル定義コード_データ行,IF(isTermRow,テーブル定義コード_番兵行,IF(isCloseRow,テーブル定義コード_最終行,"")))</f>
        <v/>
      </c>
    </row>
    <row r="26" spans="1:16">
      <c r="A26" s="19"/>
      <c r="B26" s="19"/>
      <c r="C26" s="19"/>
      <c r="D26" s="19"/>
      <c r="E26" s="20"/>
      <c r="F26" s="20"/>
      <c r="G26" s="19"/>
      <c r="H26" s="19"/>
      <c r="I26" s="10" t="str" cm="1">
        <f t="array" aca="1" ref="I26" ca="1">IF(isEmptyRow,"",F_code)</f>
        <v/>
      </c>
      <c r="J26" s="10" t="str" cm="1">
        <f t="array" aca="1" ref="J26" ca="1">IF(isEmptyRow,"",INDIRECT("C"&amp;ROW())*INDIRECT("D"&amp;ROW()))</f>
        <v/>
      </c>
      <c r="K26" s="10" t="str" cm="1">
        <f t="array" aca="1" ref="K26" ca="1">IF(isEmptyRow,"",J26*2)</f>
        <v/>
      </c>
      <c r="L26" s="10" t="str" cm="1">
        <f t="array" aca="1" ref="L26" ca="1">IF(isEmptyRow,"",F_offset)</f>
        <v/>
      </c>
      <c r="M26" s="11" t="str" cm="1">
        <f t="array" aca="1" ref="M26" ca="1">IF(isEmptyRow,"",F_address)</f>
        <v/>
      </c>
      <c r="N26" s="15" cm="1">
        <f t="array" aca="1" ref="N26" ca="1">F_残</f>
        <v>114</v>
      </c>
      <c r="P26" t="str" cm="1">
        <f t="array" aca="1" ref="P26" ca="1">IF(isDataRow,テーブル定義コード_データ行,IF(isTermRow,テーブル定義コード_番兵行,IF(isCloseRow,テーブル定義コード_最終行,"")))</f>
        <v/>
      </c>
    </row>
    <row r="27" spans="1:16">
      <c r="A27" s="19"/>
      <c r="B27" s="19"/>
      <c r="C27" s="19"/>
      <c r="D27" s="19"/>
      <c r="E27" s="20"/>
      <c r="F27" s="20"/>
      <c r="G27" s="19"/>
      <c r="H27" s="19"/>
      <c r="I27" s="10" t="str" cm="1">
        <f t="array" aca="1" ref="I27" ca="1">IF(isEmptyRow,"",F_code)</f>
        <v/>
      </c>
      <c r="J27" s="10" t="str" cm="1">
        <f t="array" aca="1" ref="J27" ca="1">IF(isEmptyRow,"",INDIRECT("C"&amp;ROW())*INDIRECT("D"&amp;ROW()))</f>
        <v/>
      </c>
      <c r="K27" s="10" t="str" cm="1">
        <f t="array" aca="1" ref="K27" ca="1">IF(isEmptyRow,"",J27*2)</f>
        <v/>
      </c>
      <c r="L27" s="10" t="str" cm="1">
        <f t="array" aca="1" ref="L27" ca="1">IF(isEmptyRow,"",F_offset)</f>
        <v/>
      </c>
      <c r="M27" s="11" t="str" cm="1">
        <f t="array" aca="1" ref="M27" ca="1">IF(isEmptyRow,"",F_address)</f>
        <v/>
      </c>
      <c r="N27" s="15" cm="1">
        <f t="array" aca="1" ref="N27" ca="1">F_残</f>
        <v>114</v>
      </c>
      <c r="P27" t="str" cm="1">
        <f t="array" aca="1" ref="P27" ca="1">IF(isDataRow,テーブル定義コード_データ行,IF(isTermRow,テーブル定義コード_番兵行,IF(isCloseRow,テーブル定義コード_最終行,"")))</f>
        <v/>
      </c>
    </row>
    <row r="28" spans="1:16">
      <c r="A28" s="19"/>
      <c r="B28" s="19"/>
      <c r="C28" s="19"/>
      <c r="D28" s="19"/>
      <c r="E28" s="20"/>
      <c r="F28" s="20"/>
      <c r="G28" s="19"/>
      <c r="H28" s="19"/>
      <c r="I28" s="10" t="str" cm="1">
        <f t="array" aca="1" ref="I28" ca="1">IF(isEmptyRow,"",F_code)</f>
        <v/>
      </c>
      <c r="J28" s="10" t="str" cm="1">
        <f t="array" aca="1" ref="J28" ca="1">IF(isEmptyRow,"",INDIRECT("C"&amp;ROW())*INDIRECT("D"&amp;ROW()))</f>
        <v/>
      </c>
      <c r="K28" s="10" t="str" cm="1">
        <f t="array" aca="1" ref="K28" ca="1">IF(isEmptyRow,"",J28*2)</f>
        <v/>
      </c>
      <c r="L28" s="10" t="str" cm="1">
        <f t="array" aca="1" ref="L28" ca="1">IF(isEmptyRow,"",F_offset)</f>
        <v/>
      </c>
      <c r="M28" s="11" t="str" cm="1">
        <f t="array" aca="1" ref="M28" ca="1">IF(isEmptyRow,"",F_address)</f>
        <v/>
      </c>
      <c r="N28" s="15" cm="1">
        <f t="array" aca="1" ref="N28" ca="1">F_残</f>
        <v>114</v>
      </c>
      <c r="P28" t="str" cm="1">
        <f t="array" aca="1" ref="P28" ca="1">IF(isDataRow,テーブル定義コード_データ行,IF(isTermRow,テーブル定義コード_番兵行,IF(isCloseRow,テーブル定義コード_最終行,"")))</f>
        <v/>
      </c>
    </row>
    <row r="29" spans="1:16">
      <c r="A29" s="19"/>
      <c r="B29" s="19"/>
      <c r="C29" s="19"/>
      <c r="D29" s="19"/>
      <c r="E29" s="20"/>
      <c r="F29" s="20"/>
      <c r="G29" s="19"/>
      <c r="H29" s="19"/>
      <c r="I29" s="10" t="str" cm="1">
        <f t="array" aca="1" ref="I29" ca="1">IF(isEmptyRow,"",F_code)</f>
        <v/>
      </c>
      <c r="J29" s="10" t="str" cm="1">
        <f t="array" aca="1" ref="J29" ca="1">IF(isEmptyRow,"",INDIRECT("C"&amp;ROW())*INDIRECT("D"&amp;ROW()))</f>
        <v/>
      </c>
      <c r="K29" s="10" t="str" cm="1">
        <f t="array" aca="1" ref="K29" ca="1">IF(isEmptyRow,"",J29*2)</f>
        <v/>
      </c>
      <c r="L29" s="10" t="str" cm="1">
        <f t="array" aca="1" ref="L29" ca="1">IF(isEmptyRow,"",F_offset)</f>
        <v/>
      </c>
      <c r="M29" s="11" t="str" cm="1">
        <f t="array" aca="1" ref="M29" ca="1">IF(isEmptyRow,"",F_address)</f>
        <v/>
      </c>
      <c r="N29" s="15" cm="1">
        <f t="array" aca="1" ref="N29" ca="1">F_残</f>
        <v>114</v>
      </c>
      <c r="P29" t="str" cm="1">
        <f t="array" aca="1" ref="P29" ca="1">IF(isDataRow,テーブル定義コード_データ行,IF(isTermRow,テーブル定義コード_番兵行,IF(isCloseRow,テーブル定義コード_最終行,"")))</f>
        <v/>
      </c>
    </row>
    <row r="30" spans="1:16">
      <c r="A30" s="19"/>
      <c r="B30" s="19"/>
      <c r="C30" s="19"/>
      <c r="D30" s="19"/>
      <c r="E30" s="20"/>
      <c r="F30" s="20"/>
      <c r="G30" s="19"/>
      <c r="H30" s="19"/>
      <c r="I30" s="10" t="str" cm="1">
        <f t="array" aca="1" ref="I30" ca="1">IF(isEmptyRow,"",F_code)</f>
        <v/>
      </c>
      <c r="J30" s="10" t="str" cm="1">
        <f t="array" aca="1" ref="J30" ca="1">IF(isEmptyRow,"",INDIRECT("C"&amp;ROW())*INDIRECT("D"&amp;ROW()))</f>
        <v/>
      </c>
      <c r="K30" s="10" t="str" cm="1">
        <f t="array" aca="1" ref="K30" ca="1">IF(isEmptyRow,"",J30*2)</f>
        <v/>
      </c>
      <c r="L30" s="10" t="str" cm="1">
        <f t="array" aca="1" ref="L30" ca="1">IF(isEmptyRow,"",F_offset)</f>
        <v/>
      </c>
      <c r="M30" s="11" t="str" cm="1">
        <f t="array" aca="1" ref="M30" ca="1">IF(isEmptyRow,"",F_address)</f>
        <v/>
      </c>
      <c r="N30" s="15" cm="1">
        <f t="array" aca="1" ref="N30" ca="1">F_残</f>
        <v>114</v>
      </c>
      <c r="P30" t="str" cm="1">
        <f t="array" aca="1" ref="P30" ca="1">IF(isDataRow,テーブル定義コード_データ行,IF(isTermRow,テーブル定義コード_番兵行,IF(isCloseRow,テーブル定義コード_最終行,"")))</f>
        <v/>
      </c>
    </row>
    <row r="31" spans="1:16">
      <c r="A31" s="19"/>
      <c r="B31" s="19"/>
      <c r="C31" s="19"/>
      <c r="D31" s="19"/>
      <c r="E31" s="20"/>
      <c r="F31" s="20"/>
      <c r="G31" s="19"/>
      <c r="H31" s="19"/>
      <c r="I31" s="10" t="str" cm="1">
        <f t="array" aca="1" ref="I31" ca="1">IF(isEmptyRow,"",F_code)</f>
        <v/>
      </c>
      <c r="J31" s="10" t="str" cm="1">
        <f t="array" aca="1" ref="J31" ca="1">IF(isEmptyRow,"",INDIRECT("C"&amp;ROW())*INDIRECT("D"&amp;ROW()))</f>
        <v/>
      </c>
      <c r="K31" s="10" t="str" cm="1">
        <f t="array" aca="1" ref="K31" ca="1">IF(isEmptyRow,"",J31*2)</f>
        <v/>
      </c>
      <c r="L31" s="10" t="str" cm="1">
        <f t="array" aca="1" ref="L31" ca="1">IF(isEmptyRow,"",F_offset)</f>
        <v/>
      </c>
      <c r="M31" s="11" t="str" cm="1">
        <f t="array" aca="1" ref="M31" ca="1">IF(isEmptyRow,"",F_address)</f>
        <v/>
      </c>
      <c r="N31" s="15" cm="1">
        <f t="array" aca="1" ref="N31" ca="1">F_残</f>
        <v>114</v>
      </c>
      <c r="P31" t="str" cm="1">
        <f t="array" aca="1" ref="P31" ca="1">IF(isDataRow,テーブル定義コード_データ行,IF(isTermRow,テーブル定義コード_番兵行,IF(isCloseRow,テーブル定義コード_最終行,"")))</f>
        <v/>
      </c>
    </row>
    <row r="32" spans="1:16">
      <c r="A32" s="19"/>
      <c r="B32" s="19"/>
      <c r="C32" s="19"/>
      <c r="D32" s="19"/>
      <c r="E32" s="20"/>
      <c r="F32" s="20"/>
      <c r="G32" s="19"/>
      <c r="H32" s="19"/>
      <c r="I32" s="10" t="str" cm="1">
        <f t="array" aca="1" ref="I32" ca="1">IF(isEmptyRow,"",F_code)</f>
        <v/>
      </c>
      <c r="J32" s="10" t="str" cm="1">
        <f t="array" aca="1" ref="J32" ca="1">IF(isEmptyRow,"",INDIRECT("C"&amp;ROW())*INDIRECT("D"&amp;ROW()))</f>
        <v/>
      </c>
      <c r="K32" s="10" t="str" cm="1">
        <f t="array" aca="1" ref="K32" ca="1">IF(isEmptyRow,"",J32*2)</f>
        <v/>
      </c>
      <c r="L32" s="10" t="str" cm="1">
        <f t="array" aca="1" ref="L32" ca="1">IF(isEmptyRow,"",F_offset)</f>
        <v/>
      </c>
      <c r="M32" s="11" t="str" cm="1">
        <f t="array" aca="1" ref="M32" ca="1">IF(isEmptyRow,"",F_address)</f>
        <v/>
      </c>
      <c r="N32" s="15" cm="1">
        <f t="array" aca="1" ref="N32" ca="1">F_残</f>
        <v>114</v>
      </c>
      <c r="P32" t="str" cm="1">
        <f t="array" aca="1" ref="P32" ca="1">IF(isDataRow,テーブル定義コード_データ行,IF(isTermRow,テーブル定義コード_番兵行,IF(isCloseRow,テーブル定義コード_最終行,"")))</f>
        <v/>
      </c>
    </row>
    <row r="33" spans="1:16">
      <c r="A33" s="19"/>
      <c r="B33" s="19"/>
      <c r="C33" s="19"/>
      <c r="D33" s="19"/>
      <c r="E33" s="20"/>
      <c r="F33" s="20"/>
      <c r="G33" s="19"/>
      <c r="H33" s="19"/>
      <c r="I33" s="10" t="str" cm="1">
        <f t="array" aca="1" ref="I33" ca="1">IF(isEmptyRow,"",F_code)</f>
        <v/>
      </c>
      <c r="J33" s="10" t="str" cm="1">
        <f t="array" aca="1" ref="J33" ca="1">IF(isEmptyRow,"",INDIRECT("C"&amp;ROW())*INDIRECT("D"&amp;ROW()))</f>
        <v/>
      </c>
      <c r="K33" s="10" t="str" cm="1">
        <f t="array" aca="1" ref="K33" ca="1">IF(isEmptyRow,"",J33*2)</f>
        <v/>
      </c>
      <c r="L33" s="10" t="str" cm="1">
        <f t="array" aca="1" ref="L33" ca="1">IF(isEmptyRow,"",F_offset)</f>
        <v/>
      </c>
      <c r="M33" s="11" t="str" cm="1">
        <f t="array" aca="1" ref="M33" ca="1">IF(isEmptyRow,"",F_address)</f>
        <v/>
      </c>
      <c r="N33" s="15" cm="1">
        <f t="array" aca="1" ref="N33" ca="1">F_残</f>
        <v>114</v>
      </c>
      <c r="P33" t="str" cm="1">
        <f t="array" aca="1" ref="P33" ca="1">IF(isDataRow,テーブル定義コード_データ行,IF(isTermRow,テーブル定義コード_番兵行,IF(isCloseRow,テーブル定義コード_最終行,"")))</f>
        <v/>
      </c>
    </row>
    <row r="34" spans="1:16">
      <c r="A34" s="19"/>
      <c r="B34" s="19"/>
      <c r="C34" s="19"/>
      <c r="D34" s="19"/>
      <c r="E34" s="20"/>
      <c r="F34" s="20"/>
      <c r="G34" s="19"/>
      <c r="H34" s="19"/>
      <c r="I34" s="10" t="str" cm="1">
        <f t="array" aca="1" ref="I34" ca="1">IF(isEmptyRow,"",F_code)</f>
        <v/>
      </c>
      <c r="J34" s="10" t="str" cm="1">
        <f t="array" aca="1" ref="J34" ca="1">IF(isEmptyRow,"",INDIRECT("C"&amp;ROW())*INDIRECT("D"&amp;ROW()))</f>
        <v/>
      </c>
      <c r="K34" s="10" t="str" cm="1">
        <f t="array" aca="1" ref="K34" ca="1">IF(isEmptyRow,"",J34*2)</f>
        <v/>
      </c>
      <c r="L34" s="10" t="str" cm="1">
        <f t="array" aca="1" ref="L34" ca="1">IF(isEmptyRow,"",F_offset)</f>
        <v/>
      </c>
      <c r="M34" s="11" t="str" cm="1">
        <f t="array" aca="1" ref="M34" ca="1">IF(isEmptyRow,"",F_address)</f>
        <v/>
      </c>
      <c r="N34" s="15" cm="1">
        <f t="array" aca="1" ref="N34" ca="1">F_残</f>
        <v>114</v>
      </c>
      <c r="P34" t="str" cm="1">
        <f t="array" aca="1" ref="P34" ca="1">IF(isDataRow,テーブル定義コード_データ行,IF(isTermRow,テーブル定義コード_番兵行,IF(isCloseRow,テーブル定義コード_最終行,"")))</f>
        <v/>
      </c>
    </row>
    <row r="35" spans="1:16">
      <c r="A35" s="19"/>
      <c r="B35" s="19"/>
      <c r="C35" s="19"/>
      <c r="D35" s="19"/>
      <c r="E35" s="20"/>
      <c r="F35" s="20"/>
      <c r="G35" s="19"/>
      <c r="H35" s="19"/>
      <c r="I35" s="10" t="str" cm="1">
        <f t="array" aca="1" ref="I35" ca="1">IF(isEmptyRow,"",F_code)</f>
        <v/>
      </c>
      <c r="J35" s="10" t="str" cm="1">
        <f t="array" aca="1" ref="J35" ca="1">IF(isEmptyRow,"",INDIRECT("C"&amp;ROW())*INDIRECT("D"&amp;ROW()))</f>
        <v/>
      </c>
      <c r="K35" s="10" t="str" cm="1">
        <f t="array" aca="1" ref="K35" ca="1">IF(isEmptyRow,"",J35*2)</f>
        <v/>
      </c>
      <c r="L35" s="10" t="str" cm="1">
        <f t="array" aca="1" ref="L35" ca="1">IF(isEmptyRow,"",F_offset)</f>
        <v/>
      </c>
      <c r="M35" s="11" t="str" cm="1">
        <f t="array" aca="1" ref="M35" ca="1">IF(isEmptyRow,"",F_address)</f>
        <v/>
      </c>
      <c r="N35" s="15" cm="1">
        <f t="array" aca="1" ref="N35" ca="1">F_残</f>
        <v>114</v>
      </c>
      <c r="P35" t="str" cm="1">
        <f t="array" aca="1" ref="P35" ca="1">IF(isDataRow,テーブル定義コード_データ行,IF(isTermRow,テーブル定義コード_番兵行,IF(isCloseRow,テーブル定義コード_最終行,"")))</f>
        <v/>
      </c>
    </row>
    <row r="36" spans="1:16">
      <c r="A36" s="19"/>
      <c r="B36" s="19"/>
      <c r="C36" s="19"/>
      <c r="D36" s="19"/>
      <c r="E36" s="20"/>
      <c r="F36" s="20"/>
      <c r="G36" s="19"/>
      <c r="H36" s="19"/>
      <c r="I36" s="10" t="str" cm="1">
        <f t="array" aca="1" ref="I36" ca="1">IF(isEmptyRow,"",F_code)</f>
        <v/>
      </c>
      <c r="J36" s="10" t="str" cm="1">
        <f t="array" aca="1" ref="J36" ca="1">IF(isEmptyRow,"",INDIRECT("C"&amp;ROW())*INDIRECT("D"&amp;ROW()))</f>
        <v/>
      </c>
      <c r="K36" s="10" t="str" cm="1">
        <f t="array" aca="1" ref="K36" ca="1">IF(isEmptyRow,"",J36*2)</f>
        <v/>
      </c>
      <c r="L36" s="10" t="str" cm="1">
        <f t="array" aca="1" ref="L36" ca="1">IF(isEmptyRow,"",F_offset)</f>
        <v/>
      </c>
      <c r="M36" s="11" t="str" cm="1">
        <f t="array" aca="1" ref="M36" ca="1">IF(isEmptyRow,"",F_address)</f>
        <v/>
      </c>
      <c r="N36" s="15" cm="1">
        <f t="array" aca="1" ref="N36" ca="1">F_残</f>
        <v>114</v>
      </c>
      <c r="P36" t="str" cm="1">
        <f t="array" aca="1" ref="P36" ca="1">IF(isDataRow,テーブル定義コード_データ行,IF(isTermRow,テーブル定義コード_番兵行,IF(isCloseRow,テーブル定義コード_最終行,"")))</f>
        <v/>
      </c>
    </row>
    <row r="37" spans="1:16">
      <c r="A37" s="19"/>
      <c r="B37" s="19"/>
      <c r="C37" s="19"/>
      <c r="D37" s="19"/>
      <c r="E37" s="20"/>
      <c r="F37" s="20"/>
      <c r="G37" s="19"/>
      <c r="H37" s="19"/>
      <c r="I37" s="10" t="str" cm="1">
        <f t="array" aca="1" ref="I37" ca="1">IF(isEmptyRow,"",F_code)</f>
        <v/>
      </c>
      <c r="J37" s="10" t="str" cm="1">
        <f t="array" aca="1" ref="J37" ca="1">IF(isEmptyRow,"",INDIRECT("C"&amp;ROW())*INDIRECT("D"&amp;ROW()))</f>
        <v/>
      </c>
      <c r="K37" s="10" t="str" cm="1">
        <f t="array" aca="1" ref="K37" ca="1">IF(isEmptyRow,"",J37*2)</f>
        <v/>
      </c>
      <c r="L37" s="10" t="str" cm="1">
        <f t="array" aca="1" ref="L37" ca="1">IF(isEmptyRow,"",F_offset)</f>
        <v/>
      </c>
      <c r="M37" s="11" t="str" cm="1">
        <f t="array" aca="1" ref="M37" ca="1">IF(isEmptyRow,"",F_address)</f>
        <v/>
      </c>
      <c r="N37" s="15" cm="1">
        <f t="array" aca="1" ref="N37" ca="1">F_残</f>
        <v>114</v>
      </c>
      <c r="P37" t="str" cm="1">
        <f t="array" aca="1" ref="P37" ca="1">IF(isDataRow,テーブル定義コード_データ行,IF(isTermRow,テーブル定義コード_番兵行,IF(isCloseRow,テーブル定義コード_最終行,"")))</f>
        <v/>
      </c>
    </row>
    <row r="38" spans="1:16">
      <c r="A38" s="19"/>
      <c r="B38" s="19"/>
      <c r="C38" s="19"/>
      <c r="D38" s="19"/>
      <c r="E38" s="20"/>
      <c r="F38" s="20"/>
      <c r="G38" s="19"/>
      <c r="H38" s="19"/>
      <c r="I38" s="10" t="str" cm="1">
        <f t="array" aca="1" ref="I38" ca="1">IF(isEmptyRow,"",F_code)</f>
        <v/>
      </c>
      <c r="J38" s="10" t="str" cm="1">
        <f t="array" aca="1" ref="J38" ca="1">IF(isEmptyRow,"",INDIRECT("C"&amp;ROW())*INDIRECT("D"&amp;ROW()))</f>
        <v/>
      </c>
      <c r="K38" s="10" t="str" cm="1">
        <f t="array" aca="1" ref="K38" ca="1">IF(isEmptyRow,"",J38*2)</f>
        <v/>
      </c>
      <c r="L38" s="10" t="str" cm="1">
        <f t="array" aca="1" ref="L38" ca="1">IF(isEmptyRow,"",F_offset)</f>
        <v/>
      </c>
      <c r="M38" s="11" t="str" cm="1">
        <f t="array" aca="1" ref="M38" ca="1">IF(isEmptyRow,"",F_address)</f>
        <v/>
      </c>
      <c r="N38" s="15" cm="1">
        <f t="array" aca="1" ref="N38" ca="1">F_残</f>
        <v>114</v>
      </c>
      <c r="P38" t="str" cm="1">
        <f t="array" aca="1" ref="P38" ca="1">IF(isDataRow,テーブル定義コード_データ行,IF(isTermRow,テーブル定義コード_番兵行,IF(isCloseRow,テーブル定義コード_最終行,"")))</f>
        <v/>
      </c>
    </row>
    <row r="39" spans="1:16">
      <c r="A39" s="19"/>
      <c r="B39" s="19"/>
      <c r="C39" s="19"/>
      <c r="D39" s="19"/>
      <c r="E39" s="20"/>
      <c r="F39" s="20"/>
      <c r="G39" s="19"/>
      <c r="H39" s="19"/>
      <c r="I39" s="10" t="str" cm="1">
        <f t="array" aca="1" ref="I39" ca="1">IF(isEmptyRow,"",F_code)</f>
        <v/>
      </c>
      <c r="J39" s="10" t="str" cm="1">
        <f t="array" aca="1" ref="J39" ca="1">IF(isEmptyRow,"",INDIRECT("C"&amp;ROW())*INDIRECT("D"&amp;ROW()))</f>
        <v/>
      </c>
      <c r="K39" s="10" t="str" cm="1">
        <f t="array" aca="1" ref="K39" ca="1">IF(isEmptyRow,"",J39*2)</f>
        <v/>
      </c>
      <c r="L39" s="10" t="str" cm="1">
        <f t="array" aca="1" ref="L39" ca="1">IF(isEmptyRow,"",F_offset)</f>
        <v/>
      </c>
      <c r="M39" s="11" t="str" cm="1">
        <f t="array" aca="1" ref="M39" ca="1">IF(isEmptyRow,"",F_address)</f>
        <v/>
      </c>
      <c r="N39" s="15" cm="1">
        <f t="array" aca="1" ref="N39" ca="1">F_残</f>
        <v>114</v>
      </c>
      <c r="P39" t="str" cm="1">
        <f t="array" aca="1" ref="P39" ca="1">IF(isDataRow,テーブル定義コード_データ行,IF(isTermRow,テーブル定義コード_番兵行,IF(isCloseRow,テーブル定義コード_最終行,"")))</f>
        <v/>
      </c>
    </row>
    <row r="40" spans="1:16">
      <c r="A40" s="19"/>
      <c r="B40" s="19"/>
      <c r="C40" s="19"/>
      <c r="D40" s="19"/>
      <c r="E40" s="20"/>
      <c r="F40" s="20"/>
      <c r="G40" s="19"/>
      <c r="H40" s="19"/>
      <c r="I40" s="10" t="str" cm="1">
        <f t="array" aca="1" ref="I40" ca="1">IF(isEmptyRow,"",F_code)</f>
        <v/>
      </c>
      <c r="J40" s="10" t="str" cm="1">
        <f t="array" aca="1" ref="J40" ca="1">IF(isEmptyRow,"",INDIRECT("C"&amp;ROW())*INDIRECT("D"&amp;ROW()))</f>
        <v/>
      </c>
      <c r="K40" s="10" t="str" cm="1">
        <f t="array" aca="1" ref="K40" ca="1">IF(isEmptyRow,"",J40*2)</f>
        <v/>
      </c>
      <c r="L40" s="10" t="str" cm="1">
        <f t="array" aca="1" ref="L40" ca="1">IF(isEmptyRow,"",F_offset)</f>
        <v/>
      </c>
      <c r="M40" s="11" t="str" cm="1">
        <f t="array" aca="1" ref="M40" ca="1">IF(isEmptyRow,"",F_address)</f>
        <v/>
      </c>
      <c r="N40" s="15" cm="1">
        <f t="array" aca="1" ref="N40" ca="1">F_残</f>
        <v>114</v>
      </c>
      <c r="P40" t="str" cm="1">
        <f t="array" aca="1" ref="P40" ca="1">IF(isDataRow,テーブル定義コード_データ行,IF(isTermRow,テーブル定義コード_番兵行,IF(isCloseRow,テーブル定義コード_最終行,"")))</f>
        <v/>
      </c>
    </row>
    <row r="41" spans="1:16">
      <c r="A41" s="19"/>
      <c r="B41" s="19"/>
      <c r="C41" s="19"/>
      <c r="D41" s="19"/>
      <c r="E41" s="20"/>
      <c r="F41" s="20"/>
      <c r="G41" s="19"/>
      <c r="H41" s="19"/>
      <c r="I41" s="10" t="str" cm="1">
        <f t="array" aca="1" ref="I41" ca="1">IF(isEmptyRow,"",F_code)</f>
        <v/>
      </c>
      <c r="J41" s="10" t="str" cm="1">
        <f t="array" aca="1" ref="J41" ca="1">IF(isEmptyRow,"",INDIRECT("C"&amp;ROW())*INDIRECT("D"&amp;ROW()))</f>
        <v/>
      </c>
      <c r="K41" s="10" t="str" cm="1">
        <f t="array" aca="1" ref="K41" ca="1">IF(isEmptyRow,"",J41*2)</f>
        <v/>
      </c>
      <c r="L41" s="10" t="str" cm="1">
        <f t="array" aca="1" ref="L41" ca="1">IF(isEmptyRow,"",F_offset)</f>
        <v/>
      </c>
      <c r="M41" s="11" t="str" cm="1">
        <f t="array" aca="1" ref="M41" ca="1">IF(isEmptyRow,"",F_address)</f>
        <v/>
      </c>
      <c r="N41" s="15" cm="1">
        <f t="array" aca="1" ref="N41" ca="1">F_残</f>
        <v>114</v>
      </c>
      <c r="P41" t="str" cm="1">
        <f t="array" aca="1" ref="P41" ca="1">IF(isDataRow,テーブル定義コード_データ行,IF(isTermRow,テーブル定義コード_番兵行,IF(isCloseRow,テーブル定義コード_最終行,"")))</f>
        <v/>
      </c>
    </row>
    <row r="42" spans="1:16">
      <c r="A42" s="19"/>
      <c r="B42" s="19"/>
      <c r="C42" s="19"/>
      <c r="D42" s="19"/>
      <c r="E42" s="20"/>
      <c r="F42" s="20"/>
      <c r="G42" s="19"/>
      <c r="H42" s="19"/>
      <c r="I42" s="10" t="str" cm="1">
        <f t="array" aca="1" ref="I42" ca="1">IF(isEmptyRow,"",F_code)</f>
        <v/>
      </c>
      <c r="J42" s="10" t="str" cm="1">
        <f t="array" aca="1" ref="J42" ca="1">IF(isEmptyRow,"",INDIRECT("C"&amp;ROW())*INDIRECT("D"&amp;ROW()))</f>
        <v/>
      </c>
      <c r="K42" s="10" t="str" cm="1">
        <f t="array" aca="1" ref="K42" ca="1">IF(isEmptyRow,"",J42*2)</f>
        <v/>
      </c>
      <c r="L42" s="10" t="str" cm="1">
        <f t="array" aca="1" ref="L42" ca="1">IF(isEmptyRow,"",F_offset)</f>
        <v/>
      </c>
      <c r="M42" s="11" t="str" cm="1">
        <f t="array" aca="1" ref="M42" ca="1">IF(isEmptyRow,"",F_address)</f>
        <v/>
      </c>
      <c r="N42" s="15" cm="1">
        <f t="array" aca="1" ref="N42" ca="1">F_残</f>
        <v>114</v>
      </c>
      <c r="P42" t="str" cm="1">
        <f t="array" aca="1" ref="P42" ca="1">IF(isDataRow,テーブル定義コード_データ行,IF(isTermRow,テーブル定義コード_番兵行,IF(isCloseRow,テーブル定義コード_最終行,"")))</f>
        <v/>
      </c>
    </row>
    <row r="43" spans="1:16">
      <c r="A43" s="19"/>
      <c r="B43" s="19"/>
      <c r="C43" s="19"/>
      <c r="D43" s="19"/>
      <c r="E43" s="20"/>
      <c r="F43" s="20"/>
      <c r="G43" s="19"/>
      <c r="H43" s="19"/>
      <c r="I43" s="10" t="str" cm="1">
        <f t="array" aca="1" ref="I43" ca="1">IF(isEmptyRow,"",F_code)</f>
        <v/>
      </c>
      <c r="J43" s="10" t="str" cm="1">
        <f t="array" aca="1" ref="J43" ca="1">IF(isEmptyRow,"",INDIRECT("C"&amp;ROW())*INDIRECT("D"&amp;ROW()))</f>
        <v/>
      </c>
      <c r="K43" s="10" t="str" cm="1">
        <f t="array" aca="1" ref="K43" ca="1">IF(isEmptyRow,"",J43*2)</f>
        <v/>
      </c>
      <c r="L43" s="10" t="str" cm="1">
        <f t="array" aca="1" ref="L43" ca="1">IF(isEmptyRow,"",F_offset)</f>
        <v/>
      </c>
      <c r="M43" s="11" t="str" cm="1">
        <f t="array" aca="1" ref="M43" ca="1">IF(isEmptyRow,"",F_address)</f>
        <v/>
      </c>
      <c r="N43" s="15" cm="1">
        <f t="array" aca="1" ref="N43" ca="1">F_残</f>
        <v>114</v>
      </c>
      <c r="P43" t="str" cm="1">
        <f t="array" aca="1" ref="P43" ca="1">IF(isDataRow,テーブル定義コード_データ行,IF(isTermRow,テーブル定義コード_番兵行,IF(isCloseRow,テーブル定義コード_最終行,"")))</f>
        <v/>
      </c>
    </row>
    <row r="44" spans="1:16">
      <c r="A44" s="19"/>
      <c r="B44" s="19"/>
      <c r="C44" s="19"/>
      <c r="D44" s="19"/>
      <c r="E44" s="20"/>
      <c r="F44" s="20"/>
      <c r="G44" s="19"/>
      <c r="H44" s="19"/>
      <c r="I44" s="10" t="str" cm="1">
        <f t="array" aca="1" ref="I44" ca="1">IF(isEmptyRow,"",F_code)</f>
        <v/>
      </c>
      <c r="J44" s="10" t="str" cm="1">
        <f t="array" aca="1" ref="J44" ca="1">IF(isEmptyRow,"",INDIRECT("C"&amp;ROW())*INDIRECT("D"&amp;ROW()))</f>
        <v/>
      </c>
      <c r="K44" s="10" t="str" cm="1">
        <f t="array" aca="1" ref="K44" ca="1">IF(isEmptyRow,"",J44*2)</f>
        <v/>
      </c>
      <c r="L44" s="10" t="str" cm="1">
        <f t="array" aca="1" ref="L44" ca="1">IF(isEmptyRow,"",F_offset)</f>
        <v/>
      </c>
      <c r="M44" s="11" t="str" cm="1">
        <f t="array" aca="1" ref="M44" ca="1">IF(isEmptyRow,"",F_address)</f>
        <v/>
      </c>
      <c r="N44" s="15" cm="1">
        <f t="array" aca="1" ref="N44" ca="1">F_残</f>
        <v>114</v>
      </c>
      <c r="P44" t="str" cm="1">
        <f t="array" aca="1" ref="P44" ca="1">IF(isDataRow,テーブル定義コード_データ行,IF(isTermRow,テーブル定義コード_番兵行,IF(isCloseRow,テーブル定義コード_最終行,"")))</f>
        <v/>
      </c>
    </row>
    <row r="45" spans="1:16">
      <c r="A45" s="19"/>
      <c r="B45" s="19"/>
      <c r="C45" s="19"/>
      <c r="D45" s="19"/>
      <c r="E45" s="20"/>
      <c r="F45" s="20"/>
      <c r="G45" s="19"/>
      <c r="H45" s="19"/>
      <c r="I45" s="10" t="str" cm="1">
        <f t="array" aca="1" ref="I45" ca="1">IF(isEmptyRow,"",F_code)</f>
        <v/>
      </c>
      <c r="J45" s="10" t="str" cm="1">
        <f t="array" aca="1" ref="J45" ca="1">IF(isEmptyRow,"",INDIRECT("C"&amp;ROW())*INDIRECT("D"&amp;ROW()))</f>
        <v/>
      </c>
      <c r="K45" s="10" t="str" cm="1">
        <f t="array" aca="1" ref="K45" ca="1">IF(isEmptyRow,"",J45*2)</f>
        <v/>
      </c>
      <c r="L45" s="10" t="str" cm="1">
        <f t="array" aca="1" ref="L45" ca="1">IF(isEmptyRow,"",F_offset)</f>
        <v/>
      </c>
      <c r="M45" s="11" t="str" cm="1">
        <f t="array" aca="1" ref="M45" ca="1">IF(isEmptyRow,"",F_address)</f>
        <v/>
      </c>
      <c r="N45" s="15" cm="1">
        <f t="array" aca="1" ref="N45" ca="1">F_残</f>
        <v>114</v>
      </c>
      <c r="P45" t="str" cm="1">
        <f t="array" aca="1" ref="P45" ca="1">IF(isDataRow,テーブル定義コード_データ行,IF(isTermRow,テーブル定義コード_番兵行,IF(isCloseRow,テーブル定義コード_最終行,"")))</f>
        <v/>
      </c>
    </row>
    <row r="46" spans="1:16">
      <c r="A46" s="19"/>
      <c r="B46" s="19"/>
      <c r="C46" s="19"/>
      <c r="D46" s="19"/>
      <c r="E46" s="20"/>
      <c r="F46" s="20"/>
      <c r="G46" s="19"/>
      <c r="H46" s="19"/>
      <c r="I46" s="10" t="str" cm="1">
        <f t="array" aca="1" ref="I46" ca="1">IF(isEmptyRow,"",F_code)</f>
        <v/>
      </c>
      <c r="J46" s="10" t="str" cm="1">
        <f t="array" aca="1" ref="J46" ca="1">IF(isEmptyRow,"",INDIRECT("C"&amp;ROW())*INDIRECT("D"&amp;ROW()))</f>
        <v/>
      </c>
      <c r="K46" s="10" t="str" cm="1">
        <f t="array" aca="1" ref="K46" ca="1">IF(isEmptyRow,"",J46*2)</f>
        <v/>
      </c>
      <c r="L46" s="10" t="str" cm="1">
        <f t="array" aca="1" ref="L46" ca="1">IF(isEmptyRow,"",F_offset)</f>
        <v/>
      </c>
      <c r="M46" s="11" t="str" cm="1">
        <f t="array" aca="1" ref="M46" ca="1">IF(isEmptyRow,"",F_address)</f>
        <v/>
      </c>
      <c r="N46" s="15" cm="1">
        <f t="array" aca="1" ref="N46" ca="1">F_残</f>
        <v>114</v>
      </c>
      <c r="P46" t="str" cm="1">
        <f t="array" aca="1" ref="P46" ca="1">IF(isDataRow,テーブル定義コード_データ行,IF(isTermRow,テーブル定義コード_番兵行,IF(isCloseRow,テーブル定義コード_最終行,"")))</f>
        <v/>
      </c>
    </row>
    <row r="47" spans="1:16">
      <c r="A47" s="19"/>
      <c r="B47" s="19"/>
      <c r="C47" s="19"/>
      <c r="D47" s="19"/>
      <c r="E47" s="20"/>
      <c r="F47" s="20"/>
      <c r="G47" s="19"/>
      <c r="H47" s="19"/>
      <c r="I47" s="10" t="str" cm="1">
        <f t="array" aca="1" ref="I47" ca="1">IF(isEmptyRow,"",F_code)</f>
        <v/>
      </c>
      <c r="J47" s="10" t="str" cm="1">
        <f t="array" aca="1" ref="J47" ca="1">IF(isEmptyRow,"",INDIRECT("C"&amp;ROW())*INDIRECT("D"&amp;ROW()))</f>
        <v/>
      </c>
      <c r="K47" s="10" t="str" cm="1">
        <f t="array" aca="1" ref="K47" ca="1">IF(isEmptyRow,"",J47*2)</f>
        <v/>
      </c>
      <c r="L47" s="10" t="str" cm="1">
        <f t="array" aca="1" ref="L47" ca="1">IF(isEmptyRow,"",F_offset)</f>
        <v/>
      </c>
      <c r="M47" s="11" t="str" cm="1">
        <f t="array" aca="1" ref="M47" ca="1">IF(isEmptyRow,"",F_address)</f>
        <v/>
      </c>
      <c r="N47" s="15" cm="1">
        <f t="array" aca="1" ref="N47" ca="1">F_残</f>
        <v>114</v>
      </c>
      <c r="P47" t="str" cm="1">
        <f t="array" aca="1" ref="P47" ca="1">IF(isDataRow,テーブル定義コード_データ行,IF(isTermRow,テーブル定義コード_番兵行,IF(isCloseRow,テーブル定義コード_最終行,"")))</f>
        <v/>
      </c>
    </row>
    <row r="48" spans="1:16">
      <c r="A48" s="19"/>
      <c r="B48" s="19"/>
      <c r="C48" s="19"/>
      <c r="D48" s="19"/>
      <c r="E48" s="20"/>
      <c r="F48" s="20"/>
      <c r="G48" s="19"/>
      <c r="H48" s="19"/>
      <c r="I48" s="10" t="str" cm="1">
        <f t="array" aca="1" ref="I48" ca="1">IF(isEmptyRow,"",F_code)</f>
        <v/>
      </c>
      <c r="J48" s="10" t="str" cm="1">
        <f t="array" aca="1" ref="J48" ca="1">IF(isEmptyRow,"",INDIRECT("C"&amp;ROW())*INDIRECT("D"&amp;ROW()))</f>
        <v/>
      </c>
      <c r="K48" s="10" t="str" cm="1">
        <f t="array" aca="1" ref="K48" ca="1">IF(isEmptyRow,"",J48*2)</f>
        <v/>
      </c>
      <c r="L48" s="10" t="str" cm="1">
        <f t="array" aca="1" ref="L48" ca="1">IF(isEmptyRow,"",F_offset)</f>
        <v/>
      </c>
      <c r="M48" s="11" t="str" cm="1">
        <f t="array" aca="1" ref="M48" ca="1">IF(isEmptyRow,"",F_address)</f>
        <v/>
      </c>
      <c r="N48" s="15" cm="1">
        <f t="array" aca="1" ref="N48" ca="1">F_残</f>
        <v>114</v>
      </c>
      <c r="P48" t="str" cm="1">
        <f t="array" aca="1" ref="P48" ca="1">IF(isDataRow,テーブル定義コード_データ行,IF(isTermRow,テーブル定義コード_番兵行,IF(isCloseRow,テーブル定義コード_最終行,"")))</f>
        <v/>
      </c>
    </row>
    <row r="49" spans="1:16">
      <c r="A49" s="19"/>
      <c r="B49" s="19"/>
      <c r="C49" s="19"/>
      <c r="D49" s="19"/>
      <c r="E49" s="20"/>
      <c r="F49" s="20"/>
      <c r="G49" s="19"/>
      <c r="H49" s="19"/>
      <c r="I49" s="10" t="str" cm="1">
        <f t="array" aca="1" ref="I49" ca="1">IF(isEmptyRow,"",F_code)</f>
        <v/>
      </c>
      <c r="J49" s="10" t="str" cm="1">
        <f t="array" aca="1" ref="J49" ca="1">IF(isEmptyRow,"",INDIRECT("C"&amp;ROW())*INDIRECT("D"&amp;ROW()))</f>
        <v/>
      </c>
      <c r="K49" s="10" t="str" cm="1">
        <f t="array" aca="1" ref="K49" ca="1">IF(isEmptyRow,"",J49*2)</f>
        <v/>
      </c>
      <c r="L49" s="10" t="str" cm="1">
        <f t="array" aca="1" ref="L49" ca="1">IF(isEmptyRow,"",F_offset)</f>
        <v/>
      </c>
      <c r="M49" s="11" t="str" cm="1">
        <f t="array" aca="1" ref="M49" ca="1">IF(isEmptyRow,"",F_address)</f>
        <v/>
      </c>
      <c r="N49" s="15" cm="1">
        <f t="array" aca="1" ref="N49" ca="1">F_残</f>
        <v>114</v>
      </c>
      <c r="P49" t="str" cm="1">
        <f t="array" aca="1" ref="P49" ca="1">IF(isDataRow,テーブル定義コード_データ行,IF(isTermRow,テーブル定義コード_番兵行,IF(isCloseRow,テーブル定義コード_最終行,"")))</f>
        <v/>
      </c>
    </row>
    <row r="50" spans="1:16">
      <c r="A50" s="19"/>
      <c r="B50" s="19"/>
      <c r="C50" s="19"/>
      <c r="D50" s="19"/>
      <c r="E50" s="20"/>
      <c r="F50" s="20"/>
      <c r="G50" s="19"/>
      <c r="H50" s="19"/>
      <c r="I50" s="10" t="str" cm="1">
        <f t="array" aca="1" ref="I50" ca="1">IF(isEmptyRow,"",F_code)</f>
        <v/>
      </c>
      <c r="J50" s="10" t="str" cm="1">
        <f t="array" aca="1" ref="J50" ca="1">IF(isEmptyRow,"",INDIRECT("C"&amp;ROW())*INDIRECT("D"&amp;ROW()))</f>
        <v/>
      </c>
      <c r="K50" s="10" t="str" cm="1">
        <f t="array" aca="1" ref="K50" ca="1">IF(isEmptyRow,"",J50*2)</f>
        <v/>
      </c>
      <c r="L50" s="10" t="str" cm="1">
        <f t="array" aca="1" ref="L50" ca="1">IF(isEmptyRow,"",F_offset)</f>
        <v/>
      </c>
      <c r="M50" s="11" t="str" cm="1">
        <f t="array" aca="1" ref="M50" ca="1">IF(isEmptyRow,"",F_address)</f>
        <v/>
      </c>
      <c r="N50" s="15" cm="1">
        <f t="array" aca="1" ref="N50" ca="1">F_残</f>
        <v>114</v>
      </c>
      <c r="P50" t="str" cm="1">
        <f t="array" aca="1" ref="P50" ca="1">IF(isDataRow,テーブル定義コード_データ行,IF(isTermRow,テーブル定義コード_番兵行,IF(isCloseRow,テーブル定義コード_最終行,"")))</f>
        <v/>
      </c>
    </row>
    <row r="51" spans="1:16">
      <c r="A51" s="19"/>
      <c r="B51" s="19"/>
      <c r="C51" s="19"/>
      <c r="D51" s="19"/>
      <c r="E51" s="20"/>
      <c r="F51" s="20"/>
      <c r="G51" s="19"/>
      <c r="H51" s="19"/>
      <c r="I51" s="10" t="str" cm="1">
        <f t="array" aca="1" ref="I51" ca="1">IF(isEmptyRow,"",F_code)</f>
        <v/>
      </c>
      <c r="J51" s="10" t="str" cm="1">
        <f t="array" aca="1" ref="J51" ca="1">IF(isEmptyRow,"",INDIRECT("C"&amp;ROW())*INDIRECT("D"&amp;ROW()))</f>
        <v/>
      </c>
      <c r="K51" s="10" t="str" cm="1">
        <f t="array" aca="1" ref="K51" ca="1">IF(isEmptyRow,"",J51*2)</f>
        <v/>
      </c>
      <c r="L51" s="10" t="str" cm="1">
        <f t="array" aca="1" ref="L51" ca="1">IF(isEmptyRow,"",F_offset)</f>
        <v/>
      </c>
      <c r="M51" s="11" t="str" cm="1">
        <f t="array" aca="1" ref="M51" ca="1">IF(isEmptyRow,"",F_address)</f>
        <v/>
      </c>
      <c r="N51" s="15" cm="1">
        <f t="array" aca="1" ref="N51" ca="1">F_残</f>
        <v>114</v>
      </c>
      <c r="P51" t="str" cm="1">
        <f t="array" aca="1" ref="P51" ca="1">IF(isDataRow,テーブル定義コード_データ行,IF(isTermRow,テーブル定義コード_番兵行,IF(isCloseRow,テーブル定義コード_最終行,"")))</f>
        <v/>
      </c>
    </row>
    <row r="52" spans="1:16">
      <c r="A52" s="19"/>
      <c r="B52" s="19"/>
      <c r="C52" s="19"/>
      <c r="D52" s="19"/>
      <c r="E52" s="20"/>
      <c r="F52" s="20"/>
      <c r="G52" s="19"/>
      <c r="H52" s="19"/>
      <c r="I52" s="10" t="str" cm="1">
        <f t="array" aca="1" ref="I52" ca="1">IF(isEmptyRow,"",F_code)</f>
        <v/>
      </c>
      <c r="J52" s="10" t="str" cm="1">
        <f t="array" aca="1" ref="J52" ca="1">IF(isEmptyRow,"",INDIRECT("C"&amp;ROW())*INDIRECT("D"&amp;ROW()))</f>
        <v/>
      </c>
      <c r="K52" s="10" t="str" cm="1">
        <f t="array" aca="1" ref="K52" ca="1">IF(isEmptyRow,"",J52*2)</f>
        <v/>
      </c>
      <c r="L52" s="10" t="str" cm="1">
        <f t="array" aca="1" ref="L52" ca="1">IF(isEmptyRow,"",F_offset)</f>
        <v/>
      </c>
      <c r="M52" s="11" t="str" cm="1">
        <f t="array" aca="1" ref="M52" ca="1">IF(isEmptyRow,"",F_address)</f>
        <v/>
      </c>
      <c r="N52" s="15" cm="1">
        <f t="array" aca="1" ref="N52" ca="1">F_残</f>
        <v>114</v>
      </c>
      <c r="P52" t="str" cm="1">
        <f t="array" aca="1" ref="P52" ca="1">IF(isDataRow,テーブル定義コード_データ行,IF(isTermRow,テーブル定義コード_番兵行,IF(isCloseRow,テーブル定義コード_最終行,"")))</f>
        <v/>
      </c>
    </row>
    <row r="53" spans="1:16">
      <c r="A53" s="19"/>
      <c r="B53" s="19"/>
      <c r="C53" s="19"/>
      <c r="D53" s="19"/>
      <c r="E53" s="20"/>
      <c r="F53" s="20"/>
      <c r="G53" s="19"/>
      <c r="H53" s="19"/>
      <c r="I53" s="10" t="str" cm="1">
        <f t="array" aca="1" ref="I53" ca="1">IF(isEmptyRow,"",F_code)</f>
        <v/>
      </c>
      <c r="J53" s="10" t="str" cm="1">
        <f t="array" aca="1" ref="J53" ca="1">IF(isEmptyRow,"",INDIRECT("C"&amp;ROW())*INDIRECT("D"&amp;ROW()))</f>
        <v/>
      </c>
      <c r="K53" s="10" t="str" cm="1">
        <f t="array" aca="1" ref="K53" ca="1">IF(isEmptyRow,"",J53*2)</f>
        <v/>
      </c>
      <c r="L53" s="10" t="str" cm="1">
        <f t="array" aca="1" ref="L53" ca="1">IF(isEmptyRow,"",F_offset)</f>
        <v/>
      </c>
      <c r="M53" s="11" t="str" cm="1">
        <f t="array" aca="1" ref="M53" ca="1">IF(isEmptyRow,"",F_address)</f>
        <v/>
      </c>
      <c r="N53" s="15" cm="1">
        <f t="array" aca="1" ref="N53" ca="1">F_残</f>
        <v>114</v>
      </c>
      <c r="P53" t="str" cm="1">
        <f t="array" aca="1" ref="P53" ca="1">IF(isDataRow,テーブル定義コード_データ行,IF(isTermRow,テーブル定義コード_番兵行,IF(isCloseRow,テーブル定義コード_最終行,"")))</f>
        <v/>
      </c>
    </row>
    <row r="54" spans="1:16">
      <c r="A54" s="19"/>
      <c r="B54" s="19"/>
      <c r="C54" s="19"/>
      <c r="D54" s="19"/>
      <c r="E54" s="20"/>
      <c r="F54" s="20"/>
      <c r="G54" s="19"/>
      <c r="H54" s="19"/>
      <c r="I54" s="10" t="str" cm="1">
        <f t="array" aca="1" ref="I54" ca="1">IF(isEmptyRow,"",F_code)</f>
        <v/>
      </c>
      <c r="J54" s="10" t="str" cm="1">
        <f t="array" aca="1" ref="J54" ca="1">IF(isEmptyRow,"",INDIRECT("C"&amp;ROW())*INDIRECT("D"&amp;ROW()))</f>
        <v/>
      </c>
      <c r="K54" s="10" t="str" cm="1">
        <f t="array" aca="1" ref="K54" ca="1">IF(isEmptyRow,"",J54*2)</f>
        <v/>
      </c>
      <c r="L54" s="10" t="str" cm="1">
        <f t="array" aca="1" ref="L54" ca="1">IF(isEmptyRow,"",F_offset)</f>
        <v/>
      </c>
      <c r="M54" s="11" t="str" cm="1">
        <f t="array" aca="1" ref="M54" ca="1">IF(isEmptyRow,"",F_address)</f>
        <v/>
      </c>
      <c r="N54" s="15" cm="1">
        <f t="array" aca="1" ref="N54" ca="1">F_残</f>
        <v>114</v>
      </c>
      <c r="P54" t="str" cm="1">
        <f t="array" aca="1" ref="P54" ca="1">IF(isDataRow,テーブル定義コード_データ行,IF(isTermRow,テーブル定義コード_番兵行,IF(isCloseRow,テーブル定義コード_最終行,"")))</f>
        <v/>
      </c>
    </row>
    <row r="55" spans="1:16">
      <c r="A55" s="19"/>
      <c r="B55" s="19"/>
      <c r="C55" s="19"/>
      <c r="D55" s="19"/>
      <c r="E55" s="20"/>
      <c r="F55" s="20"/>
      <c r="G55" s="19"/>
      <c r="H55" s="19"/>
      <c r="I55" s="10" t="str" cm="1">
        <f t="array" aca="1" ref="I55" ca="1">IF(isEmptyRow,"",F_code)</f>
        <v/>
      </c>
      <c r="J55" s="10" t="str" cm="1">
        <f t="array" aca="1" ref="J55" ca="1">IF(isEmptyRow,"",INDIRECT("C"&amp;ROW())*INDIRECT("D"&amp;ROW()))</f>
        <v/>
      </c>
      <c r="K55" s="10" t="str" cm="1">
        <f t="array" aca="1" ref="K55" ca="1">IF(isEmptyRow,"",J55*2)</f>
        <v/>
      </c>
      <c r="L55" s="10" t="str" cm="1">
        <f t="array" aca="1" ref="L55" ca="1">IF(isEmptyRow,"",F_offset)</f>
        <v/>
      </c>
      <c r="M55" s="11" t="str" cm="1">
        <f t="array" aca="1" ref="M55" ca="1">IF(isEmptyRow,"",F_address)</f>
        <v/>
      </c>
      <c r="N55" s="15" cm="1">
        <f t="array" aca="1" ref="N55" ca="1">F_残</f>
        <v>114</v>
      </c>
      <c r="P55" t="str" cm="1">
        <f t="array" aca="1" ref="P55" ca="1">IF(isDataRow,テーブル定義コード_データ行,IF(isTermRow,テーブル定義コード_番兵行,IF(isCloseRow,テーブル定義コード_最終行,"")))</f>
        <v/>
      </c>
    </row>
    <row r="56" spans="1:16">
      <c r="A56" s="19"/>
      <c r="B56" s="19"/>
      <c r="C56" s="19"/>
      <c r="D56" s="19"/>
      <c r="E56" s="20"/>
      <c r="F56" s="20"/>
      <c r="G56" s="19"/>
      <c r="H56" s="19"/>
      <c r="I56" s="10" t="str" cm="1">
        <f t="array" aca="1" ref="I56" ca="1">IF(isEmptyRow,"",F_code)</f>
        <v/>
      </c>
      <c r="J56" s="10" t="str" cm="1">
        <f t="array" aca="1" ref="J56" ca="1">IF(isEmptyRow,"",INDIRECT("C"&amp;ROW())*INDIRECT("D"&amp;ROW()))</f>
        <v/>
      </c>
      <c r="K56" s="10" t="str" cm="1">
        <f t="array" aca="1" ref="K56" ca="1">IF(isEmptyRow,"",J56*2)</f>
        <v/>
      </c>
      <c r="L56" s="10" t="str" cm="1">
        <f t="array" aca="1" ref="L56" ca="1">IF(isEmptyRow,"",F_offset)</f>
        <v/>
      </c>
      <c r="M56" s="11" t="str" cm="1">
        <f t="array" aca="1" ref="M56" ca="1">IF(isEmptyRow,"",F_address)</f>
        <v/>
      </c>
      <c r="N56" s="15" cm="1">
        <f t="array" aca="1" ref="N56" ca="1">F_残</f>
        <v>114</v>
      </c>
      <c r="P56" t="str" cm="1">
        <f t="array" aca="1" ref="P56" ca="1">IF(isDataRow,テーブル定義コード_データ行,IF(isTermRow,テーブル定義コード_番兵行,IF(isCloseRow,テーブル定義コード_最終行,"")))</f>
        <v/>
      </c>
    </row>
    <row r="57" spans="1:16">
      <c r="A57" s="19"/>
      <c r="B57" s="19"/>
      <c r="C57" s="19"/>
      <c r="D57" s="19"/>
      <c r="E57" s="20"/>
      <c r="F57" s="20"/>
      <c r="G57" s="19"/>
      <c r="H57" s="19"/>
      <c r="I57" s="10" t="str" cm="1">
        <f t="array" aca="1" ref="I57" ca="1">IF(isEmptyRow,"",F_code)</f>
        <v/>
      </c>
      <c r="J57" s="10" t="str" cm="1">
        <f t="array" aca="1" ref="J57" ca="1">IF(isEmptyRow,"",INDIRECT("C"&amp;ROW())*INDIRECT("D"&amp;ROW()))</f>
        <v/>
      </c>
      <c r="K57" s="10" t="str" cm="1">
        <f t="array" aca="1" ref="K57" ca="1">IF(isEmptyRow,"",J57*2)</f>
        <v/>
      </c>
      <c r="L57" s="10" t="str" cm="1">
        <f t="array" aca="1" ref="L57" ca="1">IF(isEmptyRow,"",F_offset)</f>
        <v/>
      </c>
      <c r="M57" s="11" t="str" cm="1">
        <f t="array" aca="1" ref="M57" ca="1">IF(isEmptyRow,"",F_address)</f>
        <v/>
      </c>
      <c r="N57" s="15" cm="1">
        <f t="array" aca="1" ref="N57" ca="1">F_残</f>
        <v>114</v>
      </c>
      <c r="P57" t="str" cm="1">
        <f t="array" aca="1" ref="P57" ca="1">IF(isDataRow,テーブル定義コード_データ行,IF(isTermRow,テーブル定義コード_番兵行,IF(isCloseRow,テーブル定義コード_最終行,"")))</f>
        <v/>
      </c>
    </row>
    <row r="58" spans="1:16">
      <c r="A58" s="19"/>
      <c r="B58" s="19"/>
      <c r="C58" s="19"/>
      <c r="D58" s="19"/>
      <c r="E58" s="20"/>
      <c r="F58" s="20"/>
      <c r="G58" s="19"/>
      <c r="H58" s="19"/>
      <c r="I58" s="10" t="str" cm="1">
        <f t="array" aca="1" ref="I58" ca="1">IF(isEmptyRow,"",F_code)</f>
        <v/>
      </c>
      <c r="J58" s="10" t="str" cm="1">
        <f t="array" aca="1" ref="J58" ca="1">IF(isEmptyRow,"",INDIRECT("C"&amp;ROW())*INDIRECT("D"&amp;ROW()))</f>
        <v/>
      </c>
      <c r="K58" s="10" t="str" cm="1">
        <f t="array" aca="1" ref="K58" ca="1">IF(isEmptyRow,"",J58*2)</f>
        <v/>
      </c>
      <c r="L58" s="10" t="str" cm="1">
        <f t="array" aca="1" ref="L58" ca="1">IF(isEmptyRow,"",F_offset)</f>
        <v/>
      </c>
      <c r="M58" s="11" t="str" cm="1">
        <f t="array" aca="1" ref="M58" ca="1">IF(isEmptyRow,"",F_address)</f>
        <v/>
      </c>
      <c r="N58" s="15" cm="1">
        <f t="array" aca="1" ref="N58" ca="1">F_残</f>
        <v>114</v>
      </c>
      <c r="P58" t="str" cm="1">
        <f t="array" aca="1" ref="P58" ca="1">IF(isDataRow,テーブル定義コード_データ行,IF(isTermRow,テーブル定義コード_番兵行,IF(isCloseRow,テーブル定義コード_最終行,"")))</f>
        <v/>
      </c>
    </row>
    <row r="59" spans="1:16">
      <c r="A59" s="19"/>
      <c r="B59" s="19"/>
      <c r="C59" s="19"/>
      <c r="D59" s="19"/>
      <c r="E59" s="20"/>
      <c r="F59" s="20"/>
      <c r="G59" s="19"/>
      <c r="H59" s="19"/>
      <c r="I59" s="10" t="str" cm="1">
        <f t="array" aca="1" ref="I59" ca="1">IF(isEmptyRow,"",F_code)</f>
        <v/>
      </c>
      <c r="J59" s="10" t="str" cm="1">
        <f t="array" aca="1" ref="J59" ca="1">IF(isEmptyRow,"",INDIRECT("C"&amp;ROW())*INDIRECT("D"&amp;ROW()))</f>
        <v/>
      </c>
      <c r="K59" s="10" t="str" cm="1">
        <f t="array" aca="1" ref="K59" ca="1">IF(isEmptyRow,"",J59*2)</f>
        <v/>
      </c>
      <c r="L59" s="10" t="str" cm="1">
        <f t="array" aca="1" ref="L59" ca="1">IF(isEmptyRow,"",F_offset)</f>
        <v/>
      </c>
      <c r="M59" s="11" t="str" cm="1">
        <f t="array" aca="1" ref="M59" ca="1">IF(isEmptyRow,"",F_address)</f>
        <v/>
      </c>
      <c r="N59" s="15" cm="1">
        <f t="array" aca="1" ref="N59" ca="1">F_残</f>
        <v>114</v>
      </c>
      <c r="P59" t="str" cm="1">
        <f t="array" aca="1" ref="P59" ca="1">IF(isDataRow,テーブル定義コード_データ行,IF(isTermRow,テーブル定義コード_番兵行,IF(isCloseRow,テーブル定義コード_最終行,"")))</f>
        <v/>
      </c>
    </row>
    <row r="60" spans="1:16">
      <c r="A60" s="19"/>
      <c r="B60" s="19"/>
      <c r="C60" s="19"/>
      <c r="D60" s="19"/>
      <c r="E60" s="20"/>
      <c r="F60" s="20"/>
      <c r="G60" s="19"/>
      <c r="H60" s="19"/>
      <c r="I60" s="10" t="str" cm="1">
        <f t="array" aca="1" ref="I60" ca="1">IF(isEmptyRow,"",F_code)</f>
        <v/>
      </c>
      <c r="J60" s="10" t="str" cm="1">
        <f t="array" aca="1" ref="J60" ca="1">IF(isEmptyRow,"",INDIRECT("C"&amp;ROW())*INDIRECT("D"&amp;ROW()))</f>
        <v/>
      </c>
      <c r="K60" s="10" t="str" cm="1">
        <f t="array" aca="1" ref="K60" ca="1">IF(isEmptyRow,"",J60*2)</f>
        <v/>
      </c>
      <c r="L60" s="10" t="str" cm="1">
        <f t="array" aca="1" ref="L60" ca="1">IF(isEmptyRow,"",F_offset)</f>
        <v/>
      </c>
      <c r="M60" s="11" t="str" cm="1">
        <f t="array" aca="1" ref="M60" ca="1">IF(isEmptyRow,"",F_address)</f>
        <v/>
      </c>
      <c r="N60" s="15" cm="1">
        <f t="array" aca="1" ref="N60" ca="1">F_残</f>
        <v>114</v>
      </c>
      <c r="P60" t="str" cm="1">
        <f t="array" aca="1" ref="P60" ca="1">IF(isDataRow,テーブル定義コード_データ行,IF(isTermRow,テーブル定義コード_番兵行,IF(isCloseRow,テーブル定義コード_最終行,"")))</f>
        <v/>
      </c>
    </row>
    <row r="61" spans="1:16">
      <c r="A61" s="19"/>
      <c r="B61" s="19"/>
      <c r="C61" s="19"/>
      <c r="D61" s="19"/>
      <c r="E61" s="20"/>
      <c r="F61" s="20"/>
      <c r="G61" s="19"/>
      <c r="H61" s="19"/>
      <c r="I61" s="10" t="str" cm="1">
        <f t="array" aca="1" ref="I61" ca="1">IF(isEmptyRow,"",F_code)</f>
        <v/>
      </c>
      <c r="J61" s="10" t="str" cm="1">
        <f t="array" aca="1" ref="J61" ca="1">IF(isEmptyRow,"",INDIRECT("C"&amp;ROW())*INDIRECT("D"&amp;ROW()))</f>
        <v/>
      </c>
      <c r="K61" s="10" t="str" cm="1">
        <f t="array" aca="1" ref="K61" ca="1">IF(isEmptyRow,"",J61*2)</f>
        <v/>
      </c>
      <c r="L61" s="10" t="str" cm="1">
        <f t="array" aca="1" ref="L61" ca="1">IF(isEmptyRow,"",F_offset)</f>
        <v/>
      </c>
      <c r="M61" s="11" t="str" cm="1">
        <f t="array" aca="1" ref="M61" ca="1">IF(isEmptyRow,"",F_address)</f>
        <v/>
      </c>
      <c r="N61" s="15" cm="1">
        <f t="array" aca="1" ref="N61" ca="1">F_残</f>
        <v>114</v>
      </c>
      <c r="P61" t="str" cm="1">
        <f t="array" aca="1" ref="P61" ca="1">IF(isDataRow,テーブル定義コード_データ行,IF(isTermRow,テーブル定義コード_番兵行,IF(isCloseRow,テーブル定義コード_最終行,"")))</f>
        <v/>
      </c>
    </row>
    <row r="62" spans="1:16">
      <c r="A62" s="19"/>
      <c r="B62" s="19"/>
      <c r="C62" s="19"/>
      <c r="D62" s="19"/>
      <c r="E62" s="20"/>
      <c r="F62" s="20"/>
      <c r="G62" s="19"/>
      <c r="H62" s="19"/>
      <c r="I62" s="10" t="str" cm="1">
        <f t="array" aca="1" ref="I62" ca="1">IF(isEmptyRow,"",F_code)</f>
        <v/>
      </c>
      <c r="J62" s="10" t="str" cm="1">
        <f t="array" aca="1" ref="J62" ca="1">IF(isEmptyRow,"",INDIRECT("C"&amp;ROW())*INDIRECT("D"&amp;ROW()))</f>
        <v/>
      </c>
      <c r="K62" s="10" t="str" cm="1">
        <f t="array" aca="1" ref="K62" ca="1">IF(isEmptyRow,"",J62*2)</f>
        <v/>
      </c>
      <c r="L62" s="10" t="str" cm="1">
        <f t="array" aca="1" ref="L62" ca="1">IF(isEmptyRow,"",F_offset)</f>
        <v/>
      </c>
      <c r="M62" s="11" t="str" cm="1">
        <f t="array" aca="1" ref="M62" ca="1">IF(isEmptyRow,"",F_address)</f>
        <v/>
      </c>
      <c r="N62" s="15" cm="1">
        <f t="array" aca="1" ref="N62" ca="1">F_残</f>
        <v>114</v>
      </c>
      <c r="P62" t="str" cm="1">
        <f t="array" aca="1" ref="P62" ca="1">IF(isDataRow,テーブル定義コード_データ行,IF(isTermRow,テーブル定義コード_番兵行,IF(isCloseRow,テーブル定義コード_最終行,"")))</f>
        <v/>
      </c>
    </row>
    <row r="63" spans="1:16">
      <c r="A63" s="19"/>
      <c r="B63" s="19"/>
      <c r="C63" s="19"/>
      <c r="D63" s="19"/>
      <c r="E63" s="20"/>
      <c r="F63" s="20"/>
      <c r="G63" s="19"/>
      <c r="H63" s="19"/>
      <c r="I63" s="10" t="str" cm="1">
        <f t="array" aca="1" ref="I63" ca="1">IF(isEmptyRow,"",F_code)</f>
        <v/>
      </c>
      <c r="J63" s="10" t="str" cm="1">
        <f t="array" aca="1" ref="J63" ca="1">IF(isEmptyRow,"",INDIRECT("C"&amp;ROW())*INDIRECT("D"&amp;ROW()))</f>
        <v/>
      </c>
      <c r="K63" s="10" t="str" cm="1">
        <f t="array" aca="1" ref="K63" ca="1">IF(isEmptyRow,"",J63*2)</f>
        <v/>
      </c>
      <c r="L63" s="10" t="str" cm="1">
        <f t="array" aca="1" ref="L63" ca="1">IF(isEmptyRow,"",F_offset)</f>
        <v/>
      </c>
      <c r="M63" s="11" t="str" cm="1">
        <f t="array" aca="1" ref="M63" ca="1">IF(isEmptyRow,"",F_address)</f>
        <v/>
      </c>
      <c r="N63" s="15" cm="1">
        <f t="array" aca="1" ref="N63" ca="1">F_残</f>
        <v>114</v>
      </c>
      <c r="P63" t="str" cm="1">
        <f t="array" aca="1" ref="P63" ca="1">IF(isDataRow,テーブル定義コード_データ行,IF(isTermRow,テーブル定義コード_番兵行,IF(isCloseRow,テーブル定義コード_最終行,"")))</f>
        <v/>
      </c>
    </row>
    <row r="64" spans="1:16">
      <c r="A64" s="19"/>
      <c r="B64" s="19"/>
      <c r="C64" s="19"/>
      <c r="D64" s="19"/>
      <c r="E64" s="20"/>
      <c r="F64" s="20"/>
      <c r="G64" s="19"/>
      <c r="H64" s="19"/>
      <c r="I64" s="10" t="str" cm="1">
        <f t="array" aca="1" ref="I64" ca="1">IF(isEmptyRow,"",F_code)</f>
        <v/>
      </c>
      <c r="J64" s="10" t="str" cm="1">
        <f t="array" aca="1" ref="J64" ca="1">IF(isEmptyRow,"",INDIRECT("C"&amp;ROW())*INDIRECT("D"&amp;ROW()))</f>
        <v/>
      </c>
      <c r="K64" s="10" t="str" cm="1">
        <f t="array" aca="1" ref="K64" ca="1">IF(isEmptyRow,"",J64*2)</f>
        <v/>
      </c>
      <c r="L64" s="10" t="str" cm="1">
        <f t="array" aca="1" ref="L64" ca="1">IF(isEmptyRow,"",F_offset)</f>
        <v/>
      </c>
      <c r="M64" s="11" t="str" cm="1">
        <f t="array" aca="1" ref="M64" ca="1">IF(isEmptyRow,"",F_address)</f>
        <v/>
      </c>
      <c r="N64" s="15" cm="1">
        <f t="array" aca="1" ref="N64" ca="1">F_残</f>
        <v>114</v>
      </c>
      <c r="P64" t="str" cm="1">
        <f t="array" aca="1" ref="P64" ca="1">IF(isDataRow,テーブル定義コード_データ行,IF(isTermRow,テーブル定義コード_番兵行,IF(isCloseRow,テーブル定義コード_最終行,"")))</f>
        <v/>
      </c>
    </row>
    <row r="65" spans="1:16">
      <c r="A65" s="19"/>
      <c r="B65" s="19"/>
      <c r="C65" s="19"/>
      <c r="D65" s="19"/>
      <c r="E65" s="20"/>
      <c r="F65" s="20"/>
      <c r="G65" s="19"/>
      <c r="H65" s="19"/>
      <c r="I65" s="10" t="str" cm="1">
        <f t="array" aca="1" ref="I65" ca="1">IF(isEmptyRow,"",F_code)</f>
        <v/>
      </c>
      <c r="J65" s="10" t="str" cm="1">
        <f t="array" aca="1" ref="J65" ca="1">IF(isEmptyRow,"",INDIRECT("C"&amp;ROW())*INDIRECT("D"&amp;ROW()))</f>
        <v/>
      </c>
      <c r="K65" s="10" t="str" cm="1">
        <f t="array" aca="1" ref="K65" ca="1">IF(isEmptyRow,"",J65*2)</f>
        <v/>
      </c>
      <c r="L65" s="10" t="str" cm="1">
        <f t="array" aca="1" ref="L65" ca="1">IF(isEmptyRow,"",F_offset)</f>
        <v/>
      </c>
      <c r="M65" s="11" t="str" cm="1">
        <f t="array" aca="1" ref="M65" ca="1">IF(isEmptyRow,"",F_address)</f>
        <v/>
      </c>
      <c r="N65" s="15" cm="1">
        <f t="array" aca="1" ref="N65" ca="1">F_残</f>
        <v>114</v>
      </c>
      <c r="P65" t="str" cm="1">
        <f t="array" aca="1" ref="P65" ca="1">IF(isDataRow,テーブル定義コード_データ行,IF(isTermRow,テーブル定義コード_番兵行,IF(isCloseRow,テーブル定義コード_最終行,"")))</f>
        <v/>
      </c>
    </row>
    <row r="66" spans="1:16">
      <c r="A66" s="19"/>
      <c r="B66" s="19"/>
      <c r="C66" s="19"/>
      <c r="D66" s="19"/>
      <c r="E66" s="20"/>
      <c r="F66" s="20"/>
      <c r="G66" s="19"/>
      <c r="H66" s="19"/>
      <c r="I66" s="10" t="str" cm="1">
        <f t="array" aca="1" ref="I66" ca="1">IF(isEmptyRow,"",F_code)</f>
        <v/>
      </c>
      <c r="J66" s="10" t="str" cm="1">
        <f t="array" aca="1" ref="J66" ca="1">IF(isEmptyRow,"",INDIRECT("C"&amp;ROW())*INDIRECT("D"&amp;ROW()))</f>
        <v/>
      </c>
      <c r="K66" s="10" t="str" cm="1">
        <f t="array" aca="1" ref="K66" ca="1">IF(isEmptyRow,"",J66*2)</f>
        <v/>
      </c>
      <c r="L66" s="10" t="str" cm="1">
        <f t="array" aca="1" ref="L66" ca="1">IF(isEmptyRow,"",F_offset)</f>
        <v/>
      </c>
      <c r="M66" s="11" t="str" cm="1">
        <f t="array" aca="1" ref="M66" ca="1">IF(isEmptyRow,"",F_address)</f>
        <v/>
      </c>
      <c r="N66" s="15" cm="1">
        <f t="array" aca="1" ref="N66" ca="1">F_残</f>
        <v>114</v>
      </c>
      <c r="P66" t="str" cm="1">
        <f t="array" aca="1" ref="P66" ca="1">IF(isDataRow,テーブル定義コード_データ行,IF(isTermRow,テーブル定義コード_番兵行,IF(isCloseRow,テーブル定義コード_最終行,"")))</f>
        <v/>
      </c>
    </row>
    <row r="67" spans="1:16">
      <c r="A67" s="19"/>
      <c r="B67" s="19"/>
      <c r="C67" s="19"/>
      <c r="D67" s="19"/>
      <c r="E67" s="20"/>
      <c r="F67" s="20"/>
      <c r="G67" s="19"/>
      <c r="H67" s="19"/>
      <c r="I67" s="10" t="str" cm="1">
        <f t="array" aca="1" ref="I67" ca="1">IF(isEmptyRow,"",F_code)</f>
        <v/>
      </c>
      <c r="J67" s="10" t="str" cm="1">
        <f t="array" aca="1" ref="J67" ca="1">IF(isEmptyRow,"",INDIRECT("C"&amp;ROW())*INDIRECT("D"&amp;ROW()))</f>
        <v/>
      </c>
      <c r="K67" s="10" t="str" cm="1">
        <f t="array" aca="1" ref="K67" ca="1">IF(isEmptyRow,"",J67*2)</f>
        <v/>
      </c>
      <c r="L67" s="10" t="str" cm="1">
        <f t="array" aca="1" ref="L67" ca="1">IF(isEmptyRow,"",F_offset)</f>
        <v/>
      </c>
      <c r="M67" s="11" t="str" cm="1">
        <f t="array" aca="1" ref="M67" ca="1">IF(isEmptyRow,"",F_address)</f>
        <v/>
      </c>
      <c r="N67" s="15" cm="1">
        <f t="array" aca="1" ref="N67" ca="1">F_残</f>
        <v>114</v>
      </c>
      <c r="P67" t="str" cm="1">
        <f t="array" aca="1" ref="P67" ca="1">IF(isDataRow,テーブル定義コード_データ行,IF(isTermRow,テーブル定義コード_番兵行,IF(isCloseRow,テーブル定義コード_最終行,"")))</f>
        <v/>
      </c>
    </row>
    <row r="68" spans="1:16">
      <c r="A68" s="19"/>
      <c r="B68" s="19"/>
      <c r="C68" s="19"/>
      <c r="D68" s="19"/>
      <c r="E68" s="20"/>
      <c r="F68" s="20"/>
      <c r="G68" s="19"/>
      <c r="H68" s="19"/>
      <c r="I68" s="10" t="str" cm="1">
        <f t="array" aca="1" ref="I68" ca="1">IF(isEmptyRow,"",F_code)</f>
        <v/>
      </c>
      <c r="J68" s="10" t="str" cm="1">
        <f t="array" aca="1" ref="J68" ca="1">IF(isEmptyRow,"",INDIRECT("C"&amp;ROW())*INDIRECT("D"&amp;ROW()))</f>
        <v/>
      </c>
      <c r="K68" s="10" t="str" cm="1">
        <f t="array" aca="1" ref="K68" ca="1">IF(isEmptyRow,"",J68*2)</f>
        <v/>
      </c>
      <c r="L68" s="10" t="str" cm="1">
        <f t="array" aca="1" ref="L68" ca="1">IF(isEmptyRow,"",F_offset)</f>
        <v/>
      </c>
      <c r="M68" s="11" t="str" cm="1">
        <f t="array" aca="1" ref="M68" ca="1">IF(isEmptyRow,"",F_address)</f>
        <v/>
      </c>
      <c r="N68" s="15" cm="1">
        <f t="array" aca="1" ref="N68" ca="1">F_残</f>
        <v>114</v>
      </c>
      <c r="P68" t="str" cm="1">
        <f t="array" aca="1" ref="P68" ca="1">IF(isDataRow,テーブル定義コード_データ行,IF(isTermRow,テーブル定義コード_番兵行,IF(isCloseRow,テーブル定義コード_最終行,"")))</f>
        <v/>
      </c>
    </row>
    <row r="69" spans="1:16">
      <c r="A69" s="19"/>
      <c r="B69" s="19"/>
      <c r="C69" s="19"/>
      <c r="D69" s="19"/>
      <c r="E69" s="20"/>
      <c r="F69" s="20"/>
      <c r="G69" s="19"/>
      <c r="H69" s="19"/>
      <c r="I69" s="10" t="str" cm="1">
        <f t="array" aca="1" ref="I69" ca="1">IF(isEmptyRow,"",F_code)</f>
        <v/>
      </c>
      <c r="J69" s="10" t="str" cm="1">
        <f t="array" aca="1" ref="J69" ca="1">IF(isEmptyRow,"",INDIRECT("C"&amp;ROW())*INDIRECT("D"&amp;ROW()))</f>
        <v/>
      </c>
      <c r="K69" s="10" t="str" cm="1">
        <f t="array" aca="1" ref="K69" ca="1">IF(isEmptyRow,"",J69*2)</f>
        <v/>
      </c>
      <c r="L69" s="10" t="str" cm="1">
        <f t="array" aca="1" ref="L69" ca="1">IF(isEmptyRow,"",F_offset)</f>
        <v/>
      </c>
      <c r="M69" s="11" t="str" cm="1">
        <f t="array" aca="1" ref="M69" ca="1">IF(isEmptyRow,"",F_address)</f>
        <v/>
      </c>
      <c r="N69" s="15" cm="1">
        <f t="array" aca="1" ref="N69" ca="1">F_残</f>
        <v>114</v>
      </c>
      <c r="P69" t="str" cm="1">
        <f t="array" aca="1" ref="P69" ca="1">IF(isDataRow,テーブル定義コード_データ行,IF(isTermRow,テーブル定義コード_番兵行,IF(isCloseRow,テーブル定義コード_最終行,"")))</f>
        <v/>
      </c>
    </row>
    <row r="70" spans="1:16">
      <c r="A70" s="19"/>
      <c r="B70" s="19"/>
      <c r="C70" s="19"/>
      <c r="D70" s="19"/>
      <c r="E70" s="20"/>
      <c r="F70" s="20"/>
      <c r="G70" s="19"/>
      <c r="H70" s="19"/>
      <c r="I70" s="10" t="str" cm="1">
        <f t="array" aca="1" ref="I70" ca="1">IF(isEmptyRow,"",F_code)</f>
        <v/>
      </c>
      <c r="J70" s="10" t="str" cm="1">
        <f t="array" aca="1" ref="J70" ca="1">IF(isEmptyRow,"",INDIRECT("C"&amp;ROW())*INDIRECT("D"&amp;ROW()))</f>
        <v/>
      </c>
      <c r="K70" s="10" t="str" cm="1">
        <f t="array" aca="1" ref="K70" ca="1">IF(isEmptyRow,"",J70*2)</f>
        <v/>
      </c>
      <c r="L70" s="10" t="str" cm="1">
        <f t="array" aca="1" ref="L70" ca="1">IF(isEmptyRow,"",F_offset)</f>
        <v/>
      </c>
      <c r="M70" s="11" t="str" cm="1">
        <f t="array" aca="1" ref="M70" ca="1">IF(isEmptyRow,"",F_address)</f>
        <v/>
      </c>
      <c r="N70" s="15" cm="1">
        <f t="array" aca="1" ref="N70" ca="1">F_残</f>
        <v>114</v>
      </c>
      <c r="P70" t="str" cm="1">
        <f t="array" aca="1" ref="P70" ca="1">IF(isDataRow,テーブル定義コード_データ行,IF(isTermRow,テーブル定義コード_番兵行,IF(isCloseRow,テーブル定義コード_最終行,"")))</f>
        <v/>
      </c>
    </row>
    <row r="71" spans="1:16">
      <c r="A71" s="19"/>
      <c r="B71" s="19"/>
      <c r="C71" s="19"/>
      <c r="D71" s="19"/>
      <c r="E71" s="20"/>
      <c r="F71" s="20"/>
      <c r="G71" s="19"/>
      <c r="H71" s="19"/>
      <c r="I71" s="10" t="str" cm="1">
        <f t="array" aca="1" ref="I71" ca="1">IF(isEmptyRow,"",F_code)</f>
        <v/>
      </c>
      <c r="J71" s="10" t="str" cm="1">
        <f t="array" aca="1" ref="J71" ca="1">IF(isEmptyRow,"",INDIRECT("C"&amp;ROW())*INDIRECT("D"&amp;ROW()))</f>
        <v/>
      </c>
      <c r="K71" s="10" t="str" cm="1">
        <f t="array" aca="1" ref="K71" ca="1">IF(isEmptyRow,"",J71*2)</f>
        <v/>
      </c>
      <c r="L71" s="10" t="str" cm="1">
        <f t="array" aca="1" ref="L71" ca="1">IF(isEmptyRow,"",F_offset)</f>
        <v/>
      </c>
      <c r="M71" s="11" t="str" cm="1">
        <f t="array" aca="1" ref="M71" ca="1">IF(isEmptyRow,"",F_address)</f>
        <v/>
      </c>
      <c r="N71" s="15" cm="1">
        <f t="array" aca="1" ref="N71" ca="1">F_残</f>
        <v>114</v>
      </c>
      <c r="P71" t="str" cm="1">
        <f t="array" aca="1" ref="P71" ca="1">IF(isDataRow,テーブル定義コード_データ行,IF(isTermRow,テーブル定義コード_番兵行,IF(isCloseRow,テーブル定義コード_最終行,"")))</f>
        <v/>
      </c>
    </row>
    <row r="72" spans="1:16">
      <c r="A72" s="19"/>
      <c r="B72" s="19"/>
      <c r="C72" s="19"/>
      <c r="D72" s="19"/>
      <c r="E72" s="20"/>
      <c r="F72" s="20"/>
      <c r="G72" s="19"/>
      <c r="H72" s="19"/>
      <c r="I72" s="10" t="str" cm="1">
        <f t="array" aca="1" ref="I72" ca="1">IF(isEmptyRow,"",F_code)</f>
        <v/>
      </c>
      <c r="J72" s="10" t="str" cm="1">
        <f t="array" aca="1" ref="J72" ca="1">IF(isEmptyRow,"",INDIRECT("C"&amp;ROW())*INDIRECT("D"&amp;ROW()))</f>
        <v/>
      </c>
      <c r="K72" s="10" t="str" cm="1">
        <f t="array" aca="1" ref="K72" ca="1">IF(isEmptyRow,"",J72*2)</f>
        <v/>
      </c>
      <c r="L72" s="10" t="str" cm="1">
        <f t="array" aca="1" ref="L72" ca="1">IF(isEmptyRow,"",F_offset)</f>
        <v/>
      </c>
      <c r="M72" s="11" t="str" cm="1">
        <f t="array" aca="1" ref="M72" ca="1">IF(isEmptyRow,"",F_address)</f>
        <v/>
      </c>
      <c r="N72" s="15" cm="1">
        <f t="array" aca="1" ref="N72" ca="1">F_残</f>
        <v>114</v>
      </c>
      <c r="P72" t="str" cm="1">
        <f t="array" aca="1" ref="P72" ca="1">IF(isDataRow,テーブル定義コード_データ行,IF(isTermRow,テーブル定義コード_番兵行,IF(isCloseRow,テーブル定義コード_最終行,"")))</f>
        <v/>
      </c>
    </row>
    <row r="73" spans="1:16">
      <c r="A73" s="19"/>
      <c r="B73" s="19"/>
      <c r="C73" s="19"/>
      <c r="D73" s="19"/>
      <c r="E73" s="20"/>
      <c r="F73" s="20"/>
      <c r="G73" s="19"/>
      <c r="H73" s="19"/>
      <c r="I73" s="10" t="str" cm="1">
        <f t="array" aca="1" ref="I73" ca="1">IF(isEmptyRow,"",F_code)</f>
        <v/>
      </c>
      <c r="J73" s="10" t="str" cm="1">
        <f t="array" aca="1" ref="J73" ca="1">IF(isEmptyRow,"",INDIRECT("C"&amp;ROW())*INDIRECT("D"&amp;ROW()))</f>
        <v/>
      </c>
      <c r="K73" s="10" t="str" cm="1">
        <f t="array" aca="1" ref="K73" ca="1">IF(isEmptyRow,"",J73*2)</f>
        <v/>
      </c>
      <c r="L73" s="10" t="str" cm="1">
        <f t="array" aca="1" ref="L73" ca="1">IF(isEmptyRow,"",F_offset)</f>
        <v/>
      </c>
      <c r="M73" s="11" t="str" cm="1">
        <f t="array" aca="1" ref="M73" ca="1">IF(isEmptyRow,"",F_address)</f>
        <v/>
      </c>
      <c r="N73" s="15" cm="1">
        <f t="array" aca="1" ref="N73" ca="1">F_残</f>
        <v>114</v>
      </c>
      <c r="P73" t="str" cm="1">
        <f t="array" aca="1" ref="P73" ca="1">IF(isDataRow,テーブル定義コード_データ行,IF(isTermRow,テーブル定義コード_番兵行,IF(isCloseRow,テーブル定義コード_最終行,"")))</f>
        <v/>
      </c>
    </row>
    <row r="74" spans="1:16">
      <c r="A74" s="19"/>
      <c r="B74" s="19"/>
      <c r="C74" s="19"/>
      <c r="D74" s="19"/>
      <c r="E74" s="20"/>
      <c r="F74" s="20"/>
      <c r="G74" s="19"/>
      <c r="H74" s="19"/>
      <c r="I74" s="10" t="str" cm="1">
        <f t="array" aca="1" ref="I74" ca="1">IF(isEmptyRow,"",F_code)</f>
        <v/>
      </c>
      <c r="J74" s="10" t="str" cm="1">
        <f t="array" aca="1" ref="J74" ca="1">IF(isEmptyRow,"",INDIRECT("C"&amp;ROW())*INDIRECT("D"&amp;ROW()))</f>
        <v/>
      </c>
      <c r="K74" s="10" t="str" cm="1">
        <f t="array" aca="1" ref="K74" ca="1">IF(isEmptyRow,"",J74*2)</f>
        <v/>
      </c>
      <c r="L74" s="10" t="str" cm="1">
        <f t="array" aca="1" ref="L74" ca="1">IF(isEmptyRow,"",F_offset)</f>
        <v/>
      </c>
      <c r="M74" s="11" t="str" cm="1">
        <f t="array" aca="1" ref="M74" ca="1">IF(isEmptyRow,"",F_address)</f>
        <v/>
      </c>
      <c r="N74" s="15" cm="1">
        <f t="array" aca="1" ref="N74" ca="1">F_残</f>
        <v>114</v>
      </c>
      <c r="P74" t="str" cm="1">
        <f t="array" aca="1" ref="P74" ca="1">IF(isDataRow,テーブル定義コード_データ行,IF(isTermRow,テーブル定義コード_番兵行,IF(isCloseRow,テーブル定義コード_最終行,"")))</f>
        <v/>
      </c>
    </row>
    <row r="75" spans="1:16">
      <c r="A75" s="19"/>
      <c r="B75" s="19"/>
      <c r="C75" s="19"/>
      <c r="D75" s="19"/>
      <c r="E75" s="20"/>
      <c r="F75" s="20"/>
      <c r="G75" s="19"/>
      <c r="H75" s="19"/>
      <c r="I75" s="10" t="str" cm="1">
        <f t="array" aca="1" ref="I75" ca="1">IF(isEmptyRow,"",F_code)</f>
        <v/>
      </c>
      <c r="J75" s="10" t="str" cm="1">
        <f t="array" aca="1" ref="J75" ca="1">IF(isEmptyRow,"",INDIRECT("C"&amp;ROW())*INDIRECT("D"&amp;ROW()))</f>
        <v/>
      </c>
      <c r="K75" s="10" t="str" cm="1">
        <f t="array" aca="1" ref="K75" ca="1">IF(isEmptyRow,"",J75*2)</f>
        <v/>
      </c>
      <c r="L75" s="10" t="str" cm="1">
        <f t="array" aca="1" ref="L75" ca="1">IF(isEmptyRow,"",F_offset)</f>
        <v/>
      </c>
      <c r="M75" s="11" t="str" cm="1">
        <f t="array" aca="1" ref="M75" ca="1">IF(isEmptyRow,"",F_address)</f>
        <v/>
      </c>
      <c r="N75" s="15" cm="1">
        <f t="array" aca="1" ref="N75" ca="1">F_残</f>
        <v>114</v>
      </c>
      <c r="P75" t="str" cm="1">
        <f t="array" aca="1" ref="P75" ca="1">IF(isDataRow,テーブル定義コード_データ行,IF(isTermRow,テーブル定義コード_番兵行,IF(isCloseRow,テーブル定義コード_最終行,"")))</f>
        <v/>
      </c>
    </row>
    <row r="76" spans="1:16">
      <c r="A76" s="19"/>
      <c r="B76" s="19"/>
      <c r="C76" s="19"/>
      <c r="D76" s="19"/>
      <c r="E76" s="20"/>
      <c r="F76" s="20"/>
      <c r="G76" s="19"/>
      <c r="H76" s="19"/>
      <c r="I76" s="10" t="str" cm="1">
        <f t="array" aca="1" ref="I76" ca="1">IF(isEmptyRow,"",F_code)</f>
        <v/>
      </c>
      <c r="J76" s="10" t="str" cm="1">
        <f t="array" aca="1" ref="J76" ca="1">IF(isEmptyRow,"",INDIRECT("C"&amp;ROW())*INDIRECT("D"&amp;ROW()))</f>
        <v/>
      </c>
      <c r="K76" s="10" t="str" cm="1">
        <f t="array" aca="1" ref="K76" ca="1">IF(isEmptyRow,"",J76*2)</f>
        <v/>
      </c>
      <c r="L76" s="10" t="str" cm="1">
        <f t="array" aca="1" ref="L76" ca="1">IF(isEmptyRow,"",F_offset)</f>
        <v/>
      </c>
      <c r="M76" s="11" t="str" cm="1">
        <f t="array" aca="1" ref="M76" ca="1">IF(isEmptyRow,"",F_address)</f>
        <v/>
      </c>
      <c r="N76" s="15" cm="1">
        <f t="array" aca="1" ref="N76" ca="1">F_残</f>
        <v>114</v>
      </c>
      <c r="P76" t="str" cm="1">
        <f t="array" aca="1" ref="P76" ca="1">IF(isDataRow,テーブル定義コード_データ行,IF(isTermRow,テーブル定義コード_番兵行,IF(isCloseRow,テーブル定義コード_最終行,"")))</f>
        <v/>
      </c>
    </row>
    <row r="77" spans="1:16">
      <c r="A77" s="19"/>
      <c r="B77" s="19"/>
      <c r="C77" s="19"/>
      <c r="D77" s="19"/>
      <c r="E77" s="20"/>
      <c r="F77" s="20"/>
      <c r="G77" s="19"/>
      <c r="H77" s="19"/>
      <c r="I77" s="10" t="str" cm="1">
        <f t="array" aca="1" ref="I77" ca="1">IF(isEmptyRow,"",F_code)</f>
        <v/>
      </c>
      <c r="J77" s="10" t="str" cm="1">
        <f t="array" aca="1" ref="J77" ca="1">IF(isEmptyRow,"",INDIRECT("C"&amp;ROW())*INDIRECT("D"&amp;ROW()))</f>
        <v/>
      </c>
      <c r="K77" s="10" t="str" cm="1">
        <f t="array" aca="1" ref="K77" ca="1">IF(isEmptyRow,"",J77*2)</f>
        <v/>
      </c>
      <c r="L77" s="10" t="str" cm="1">
        <f t="array" aca="1" ref="L77" ca="1">IF(isEmptyRow,"",F_offset)</f>
        <v/>
      </c>
      <c r="M77" s="11" t="str" cm="1">
        <f t="array" aca="1" ref="M77" ca="1">IF(isEmptyRow,"",F_address)</f>
        <v/>
      </c>
      <c r="N77" s="15" cm="1">
        <f t="array" aca="1" ref="N77" ca="1">F_残</f>
        <v>114</v>
      </c>
      <c r="P77" t="str" cm="1">
        <f t="array" aca="1" ref="P77" ca="1">IF(isDataRow,テーブル定義コード_データ行,IF(isTermRow,テーブル定義コード_番兵行,IF(isCloseRow,テーブル定義コード_最終行,"")))</f>
        <v/>
      </c>
    </row>
    <row r="78" spans="1:16">
      <c r="A78" s="19"/>
      <c r="B78" s="19"/>
      <c r="C78" s="19"/>
      <c r="D78" s="19"/>
      <c r="E78" s="20"/>
      <c r="F78" s="20"/>
      <c r="G78" s="19"/>
      <c r="H78" s="19"/>
      <c r="I78" s="10" t="str" cm="1">
        <f t="array" aca="1" ref="I78" ca="1">IF(isEmptyRow,"",F_code)</f>
        <v/>
      </c>
      <c r="J78" s="10" t="str" cm="1">
        <f t="array" aca="1" ref="J78" ca="1">IF(isEmptyRow,"",INDIRECT("C"&amp;ROW())*INDIRECT("D"&amp;ROW()))</f>
        <v/>
      </c>
      <c r="K78" s="10" t="str" cm="1">
        <f t="array" aca="1" ref="K78" ca="1">IF(isEmptyRow,"",J78*2)</f>
        <v/>
      </c>
      <c r="L78" s="10" t="str" cm="1">
        <f t="array" aca="1" ref="L78" ca="1">IF(isEmptyRow,"",F_offset)</f>
        <v/>
      </c>
      <c r="M78" s="11" t="str" cm="1">
        <f t="array" aca="1" ref="M78" ca="1">IF(isEmptyRow,"",F_address)</f>
        <v/>
      </c>
      <c r="N78" s="15" cm="1">
        <f t="array" aca="1" ref="N78" ca="1">F_残</f>
        <v>114</v>
      </c>
      <c r="P78" t="str" cm="1">
        <f t="array" aca="1" ref="P78" ca="1">IF(isDataRow,テーブル定義コード_データ行,IF(isTermRow,テーブル定義コード_番兵行,IF(isCloseRow,テーブル定義コード_最終行,"")))</f>
        <v/>
      </c>
    </row>
    <row r="79" spans="1:16">
      <c r="A79" s="19"/>
      <c r="B79" s="19"/>
      <c r="C79" s="19"/>
      <c r="D79" s="19"/>
      <c r="E79" s="20"/>
      <c r="F79" s="20"/>
      <c r="G79" s="19"/>
      <c r="H79" s="19"/>
      <c r="I79" s="10" t="str" cm="1">
        <f t="array" aca="1" ref="I79" ca="1">IF(isEmptyRow,"",F_code)</f>
        <v/>
      </c>
      <c r="J79" s="10" t="str" cm="1">
        <f t="array" aca="1" ref="J79" ca="1">IF(isEmptyRow,"",INDIRECT("C"&amp;ROW())*INDIRECT("D"&amp;ROW()))</f>
        <v/>
      </c>
      <c r="K79" s="10" t="str" cm="1">
        <f t="array" aca="1" ref="K79" ca="1">IF(isEmptyRow,"",J79*2)</f>
        <v/>
      </c>
      <c r="L79" s="10" t="str" cm="1">
        <f t="array" aca="1" ref="L79" ca="1">IF(isEmptyRow,"",F_offset)</f>
        <v/>
      </c>
      <c r="M79" s="11" t="str" cm="1">
        <f t="array" aca="1" ref="M79" ca="1">IF(isEmptyRow,"",F_address)</f>
        <v/>
      </c>
      <c r="N79" s="15" cm="1">
        <f t="array" aca="1" ref="N79" ca="1">F_残</f>
        <v>114</v>
      </c>
      <c r="P79" t="str" cm="1">
        <f t="array" aca="1" ref="P79" ca="1">IF(isDataRow,テーブル定義コード_データ行,IF(isTermRow,テーブル定義コード_番兵行,IF(isCloseRow,テーブル定義コード_最終行,"")))</f>
        <v/>
      </c>
    </row>
    <row r="80" spans="1:16">
      <c r="A80" s="19"/>
      <c r="B80" s="19"/>
      <c r="C80" s="19"/>
      <c r="D80" s="19"/>
      <c r="E80" s="20"/>
      <c r="F80" s="20"/>
      <c r="G80" s="19"/>
      <c r="H80" s="19"/>
      <c r="I80" s="10" t="str" cm="1">
        <f t="array" aca="1" ref="I80" ca="1">IF(isEmptyRow,"",F_code)</f>
        <v/>
      </c>
      <c r="J80" s="10" t="str" cm="1">
        <f t="array" aca="1" ref="J80" ca="1">IF(isEmptyRow,"",INDIRECT("C"&amp;ROW())*INDIRECT("D"&amp;ROW()))</f>
        <v/>
      </c>
      <c r="K80" s="10" t="str" cm="1">
        <f t="array" aca="1" ref="K80" ca="1">IF(isEmptyRow,"",J80*2)</f>
        <v/>
      </c>
      <c r="L80" s="10" t="str" cm="1">
        <f t="array" aca="1" ref="L80" ca="1">IF(isEmptyRow,"",F_offset)</f>
        <v/>
      </c>
      <c r="M80" s="11" t="str" cm="1">
        <f t="array" aca="1" ref="M80" ca="1">IF(isEmptyRow,"",F_address)</f>
        <v/>
      </c>
      <c r="N80" s="15" cm="1">
        <f t="array" aca="1" ref="N80" ca="1">F_残</f>
        <v>114</v>
      </c>
      <c r="P80" t="str" cm="1">
        <f t="array" aca="1" ref="P80" ca="1">IF(isDataRow,テーブル定義コード_データ行,IF(isTermRow,テーブル定義コード_番兵行,IF(isCloseRow,テーブル定義コード_最終行,"")))</f>
        <v/>
      </c>
    </row>
    <row r="81" spans="1:16">
      <c r="A81" s="19"/>
      <c r="B81" s="19"/>
      <c r="C81" s="19"/>
      <c r="D81" s="19"/>
      <c r="E81" s="20"/>
      <c r="F81" s="20"/>
      <c r="G81" s="19"/>
      <c r="H81" s="19"/>
      <c r="I81" s="10" t="str" cm="1">
        <f t="array" aca="1" ref="I81" ca="1">IF(isEmptyRow,"",F_code)</f>
        <v/>
      </c>
      <c r="J81" s="10" t="str" cm="1">
        <f t="array" aca="1" ref="J81" ca="1">IF(isEmptyRow,"",INDIRECT("C"&amp;ROW())*INDIRECT("D"&amp;ROW()))</f>
        <v/>
      </c>
      <c r="K81" s="10" t="str" cm="1">
        <f t="array" aca="1" ref="K81" ca="1">IF(isEmptyRow,"",J81*2)</f>
        <v/>
      </c>
      <c r="L81" s="10" t="str" cm="1">
        <f t="array" aca="1" ref="L81" ca="1">IF(isEmptyRow,"",F_offset)</f>
        <v/>
      </c>
      <c r="M81" s="11" t="str" cm="1">
        <f t="array" aca="1" ref="M81" ca="1">IF(isEmptyRow,"",F_address)</f>
        <v/>
      </c>
      <c r="N81" s="15" cm="1">
        <f t="array" aca="1" ref="N81" ca="1">F_残</f>
        <v>114</v>
      </c>
      <c r="P81" t="str" cm="1">
        <f t="array" aca="1" ref="P81" ca="1">IF(isDataRow,テーブル定義コード_データ行,IF(isTermRow,テーブル定義コード_番兵行,IF(isCloseRow,テーブル定義コード_最終行,"")))</f>
        <v/>
      </c>
    </row>
    <row r="82" spans="1:16">
      <c r="A82" s="19"/>
      <c r="B82" s="19"/>
      <c r="C82" s="19"/>
      <c r="D82" s="19"/>
      <c r="E82" s="20"/>
      <c r="F82" s="20"/>
      <c r="G82" s="19"/>
      <c r="H82" s="19"/>
      <c r="I82" s="10" t="str" cm="1">
        <f t="array" aca="1" ref="I82" ca="1">IF(isEmptyRow,"",F_code)</f>
        <v/>
      </c>
      <c r="J82" s="10" t="str" cm="1">
        <f t="array" aca="1" ref="J82" ca="1">IF(isEmptyRow,"",INDIRECT("C"&amp;ROW())*INDIRECT("D"&amp;ROW()))</f>
        <v/>
      </c>
      <c r="K82" s="10" t="str" cm="1">
        <f t="array" aca="1" ref="K82" ca="1">IF(isEmptyRow,"",J82*2)</f>
        <v/>
      </c>
      <c r="L82" s="10" t="str" cm="1">
        <f t="array" aca="1" ref="L82" ca="1">IF(isEmptyRow,"",F_offset)</f>
        <v/>
      </c>
      <c r="M82" s="11" t="str" cm="1">
        <f t="array" aca="1" ref="M82" ca="1">IF(isEmptyRow,"",F_address)</f>
        <v/>
      </c>
      <c r="N82" s="15" cm="1">
        <f t="array" aca="1" ref="N82" ca="1">F_残</f>
        <v>114</v>
      </c>
      <c r="P82" t="str" cm="1">
        <f t="array" aca="1" ref="P82" ca="1">IF(isDataRow,テーブル定義コード_データ行,IF(isTermRow,テーブル定義コード_番兵行,IF(isCloseRow,テーブル定義コード_最終行,"")))</f>
        <v/>
      </c>
    </row>
    <row r="83" spans="1:16">
      <c r="A83" s="19"/>
      <c r="B83" s="19"/>
      <c r="C83" s="19"/>
      <c r="D83" s="19"/>
      <c r="E83" s="20"/>
      <c r="F83" s="20"/>
      <c r="G83" s="19"/>
      <c r="H83" s="19"/>
      <c r="I83" s="10" t="str" cm="1">
        <f t="array" aca="1" ref="I83" ca="1">IF(isEmptyRow,"",F_code)</f>
        <v/>
      </c>
      <c r="J83" s="10" t="str" cm="1">
        <f t="array" aca="1" ref="J83" ca="1">IF(isEmptyRow,"",INDIRECT("C"&amp;ROW())*INDIRECT("D"&amp;ROW()))</f>
        <v/>
      </c>
      <c r="K83" s="10" t="str" cm="1">
        <f t="array" aca="1" ref="K83" ca="1">IF(isEmptyRow,"",J83*2)</f>
        <v/>
      </c>
      <c r="L83" s="10" t="str" cm="1">
        <f t="array" aca="1" ref="L83" ca="1">IF(isEmptyRow,"",F_offset)</f>
        <v/>
      </c>
      <c r="M83" s="11" t="str" cm="1">
        <f t="array" aca="1" ref="M83" ca="1">IF(isEmptyRow,"",F_address)</f>
        <v/>
      </c>
      <c r="N83" s="15" cm="1">
        <f t="array" aca="1" ref="N83" ca="1">F_残</f>
        <v>114</v>
      </c>
      <c r="P83" t="str" cm="1">
        <f t="array" aca="1" ref="P83" ca="1">IF(isDataRow,テーブル定義コード_データ行,IF(isTermRow,テーブル定義コード_番兵行,IF(isCloseRow,テーブル定義コード_最終行,"")))</f>
        <v/>
      </c>
    </row>
    <row r="84" spans="1:16">
      <c r="A84" s="19"/>
      <c r="B84" s="19"/>
      <c r="C84" s="19"/>
      <c r="D84" s="19"/>
      <c r="E84" s="20"/>
      <c r="F84" s="20"/>
      <c r="G84" s="19"/>
      <c r="H84" s="19"/>
      <c r="I84" s="10" t="str" cm="1">
        <f t="array" aca="1" ref="I84" ca="1">IF(isEmptyRow,"",F_code)</f>
        <v/>
      </c>
      <c r="J84" s="10" t="str" cm="1">
        <f t="array" aca="1" ref="J84" ca="1">IF(isEmptyRow,"",INDIRECT("C"&amp;ROW())*INDIRECT("D"&amp;ROW()))</f>
        <v/>
      </c>
      <c r="K84" s="10" t="str" cm="1">
        <f t="array" aca="1" ref="K84" ca="1">IF(isEmptyRow,"",J84*2)</f>
        <v/>
      </c>
      <c r="L84" s="10" t="str" cm="1">
        <f t="array" aca="1" ref="L84" ca="1">IF(isEmptyRow,"",F_offset)</f>
        <v/>
      </c>
      <c r="M84" s="11" t="str" cm="1">
        <f t="array" aca="1" ref="M84" ca="1">IF(isEmptyRow,"",F_address)</f>
        <v/>
      </c>
      <c r="N84" s="15" cm="1">
        <f t="array" aca="1" ref="N84" ca="1">F_残</f>
        <v>114</v>
      </c>
      <c r="P84" t="str" cm="1">
        <f t="array" aca="1" ref="P84" ca="1">IF(isDataRow,テーブル定義コード_データ行,IF(isTermRow,テーブル定義コード_番兵行,IF(isCloseRow,テーブル定義コード_最終行,"")))</f>
        <v/>
      </c>
    </row>
    <row r="85" spans="1:16">
      <c r="A85" s="19"/>
      <c r="B85" s="19"/>
      <c r="C85" s="19"/>
      <c r="D85" s="19"/>
      <c r="E85" s="20"/>
      <c r="F85" s="20"/>
      <c r="G85" s="19"/>
      <c r="H85" s="19"/>
      <c r="I85" s="10" t="str" cm="1">
        <f t="array" aca="1" ref="I85" ca="1">IF(isEmptyRow,"",F_code)</f>
        <v/>
      </c>
      <c r="J85" s="10" t="str" cm="1">
        <f t="array" aca="1" ref="J85" ca="1">IF(isEmptyRow,"",INDIRECT("C"&amp;ROW())*INDIRECT("D"&amp;ROW()))</f>
        <v/>
      </c>
      <c r="K85" s="10" t="str" cm="1">
        <f t="array" aca="1" ref="K85" ca="1">IF(isEmptyRow,"",J85*2)</f>
        <v/>
      </c>
      <c r="L85" s="10" t="str" cm="1">
        <f t="array" aca="1" ref="L85" ca="1">IF(isEmptyRow,"",F_offset)</f>
        <v/>
      </c>
      <c r="M85" s="11" t="str" cm="1">
        <f t="array" aca="1" ref="M85" ca="1">IF(isEmptyRow,"",F_address)</f>
        <v/>
      </c>
      <c r="N85" s="15" cm="1">
        <f t="array" aca="1" ref="N85" ca="1">F_残</f>
        <v>114</v>
      </c>
      <c r="P85" t="str" cm="1">
        <f t="array" aca="1" ref="P85" ca="1">IF(isDataRow,テーブル定義コード_データ行,IF(isTermRow,テーブル定義コード_番兵行,IF(isCloseRow,テーブル定義コード_最終行,"")))</f>
        <v/>
      </c>
    </row>
    <row r="86" spans="1:16">
      <c r="A86" s="19"/>
      <c r="B86" s="19"/>
      <c r="C86" s="19"/>
      <c r="D86" s="19"/>
      <c r="E86" s="20"/>
      <c r="F86" s="20"/>
      <c r="G86" s="19"/>
      <c r="H86" s="19"/>
      <c r="I86" s="10" t="str" cm="1">
        <f t="array" aca="1" ref="I86" ca="1">IF(isEmptyRow,"",F_code)</f>
        <v/>
      </c>
      <c r="J86" s="10" t="str" cm="1">
        <f t="array" aca="1" ref="J86" ca="1">IF(isEmptyRow,"",INDIRECT("C"&amp;ROW())*INDIRECT("D"&amp;ROW()))</f>
        <v/>
      </c>
      <c r="K86" s="10" t="str" cm="1">
        <f t="array" aca="1" ref="K86" ca="1">IF(isEmptyRow,"",J86*2)</f>
        <v/>
      </c>
      <c r="L86" s="10" t="str" cm="1">
        <f t="array" aca="1" ref="L86" ca="1">IF(isEmptyRow,"",F_offset)</f>
        <v/>
      </c>
      <c r="M86" s="11" t="str" cm="1">
        <f t="array" aca="1" ref="M86" ca="1">IF(isEmptyRow,"",F_address)</f>
        <v/>
      </c>
      <c r="N86" s="15" cm="1">
        <f t="array" aca="1" ref="N86" ca="1">F_残</f>
        <v>114</v>
      </c>
      <c r="P86" t="str" cm="1">
        <f t="array" aca="1" ref="P86" ca="1">IF(isDataRow,テーブル定義コード_データ行,IF(isTermRow,テーブル定義コード_番兵行,IF(isCloseRow,テーブル定義コード_最終行,"")))</f>
        <v/>
      </c>
    </row>
    <row r="87" spans="1:16">
      <c r="A87" s="19"/>
      <c r="B87" s="19"/>
      <c r="C87" s="19"/>
      <c r="D87" s="19"/>
      <c r="E87" s="20"/>
      <c r="F87" s="20"/>
      <c r="G87" s="19"/>
      <c r="H87" s="19"/>
      <c r="I87" s="10" t="str" cm="1">
        <f t="array" aca="1" ref="I87" ca="1">IF(isEmptyRow,"",F_code)</f>
        <v/>
      </c>
      <c r="J87" s="10" t="str" cm="1">
        <f t="array" aca="1" ref="J87" ca="1">IF(isEmptyRow,"",INDIRECT("C"&amp;ROW())*INDIRECT("D"&amp;ROW()))</f>
        <v/>
      </c>
      <c r="K87" s="10" t="str" cm="1">
        <f t="array" aca="1" ref="K87" ca="1">IF(isEmptyRow,"",J87*2)</f>
        <v/>
      </c>
      <c r="L87" s="10" t="str" cm="1">
        <f t="array" aca="1" ref="L87" ca="1">IF(isEmptyRow,"",F_offset)</f>
        <v/>
      </c>
      <c r="M87" s="11" t="str" cm="1">
        <f t="array" aca="1" ref="M87" ca="1">IF(isEmptyRow,"",F_address)</f>
        <v/>
      </c>
      <c r="N87" s="15" cm="1">
        <f t="array" aca="1" ref="N87" ca="1">F_残</f>
        <v>114</v>
      </c>
      <c r="P87" t="str" cm="1">
        <f t="array" aca="1" ref="P87" ca="1">IF(isDataRow,テーブル定義コード_データ行,IF(isTermRow,テーブル定義コード_番兵行,IF(isCloseRow,テーブル定義コード_最終行,"")))</f>
        <v/>
      </c>
    </row>
    <row r="88" spans="1:16">
      <c r="A88" s="19"/>
      <c r="B88" s="19"/>
      <c r="C88" s="19"/>
      <c r="D88" s="19"/>
      <c r="E88" s="20"/>
      <c r="F88" s="20"/>
      <c r="G88" s="19"/>
      <c r="H88" s="19"/>
      <c r="I88" s="10" t="str" cm="1">
        <f t="array" aca="1" ref="I88" ca="1">IF(isEmptyRow,"",F_code)</f>
        <v/>
      </c>
      <c r="J88" s="10" t="str" cm="1">
        <f t="array" aca="1" ref="J88" ca="1">IF(isEmptyRow,"",INDIRECT("C"&amp;ROW())*INDIRECT("D"&amp;ROW()))</f>
        <v/>
      </c>
      <c r="K88" s="10" t="str" cm="1">
        <f t="array" aca="1" ref="K88" ca="1">IF(isEmptyRow,"",J88*2)</f>
        <v/>
      </c>
      <c r="L88" s="10" t="str" cm="1">
        <f t="array" aca="1" ref="L88" ca="1">IF(isEmptyRow,"",F_offset)</f>
        <v/>
      </c>
      <c r="M88" s="11" t="str" cm="1">
        <f t="array" aca="1" ref="M88" ca="1">IF(isEmptyRow,"",F_address)</f>
        <v/>
      </c>
      <c r="N88" s="15" cm="1">
        <f t="array" aca="1" ref="N88" ca="1">F_残</f>
        <v>114</v>
      </c>
      <c r="P88" t="str" cm="1">
        <f t="array" aca="1" ref="P88" ca="1">IF(isDataRow,テーブル定義コード_データ行,IF(isTermRow,テーブル定義コード_番兵行,IF(isCloseRow,テーブル定義コード_最終行,"")))</f>
        <v/>
      </c>
    </row>
    <row r="89" spans="1:16">
      <c r="A89" s="19"/>
      <c r="B89" s="19"/>
      <c r="C89" s="19"/>
      <c r="D89" s="19"/>
      <c r="E89" s="20"/>
      <c r="F89" s="20"/>
      <c r="G89" s="19"/>
      <c r="H89" s="19"/>
      <c r="I89" s="10" t="str" cm="1">
        <f t="array" aca="1" ref="I89" ca="1">IF(isEmptyRow,"",F_code)</f>
        <v/>
      </c>
      <c r="J89" s="10" t="str" cm="1">
        <f t="array" aca="1" ref="J89" ca="1">IF(isEmptyRow,"",INDIRECT("C"&amp;ROW())*INDIRECT("D"&amp;ROW()))</f>
        <v/>
      </c>
      <c r="K89" s="10" t="str" cm="1">
        <f t="array" aca="1" ref="K89" ca="1">IF(isEmptyRow,"",J89*2)</f>
        <v/>
      </c>
      <c r="L89" s="10" t="str" cm="1">
        <f t="array" aca="1" ref="L89" ca="1">IF(isEmptyRow,"",F_offset)</f>
        <v/>
      </c>
      <c r="M89" s="11" t="str" cm="1">
        <f t="array" aca="1" ref="M89" ca="1">IF(isEmptyRow,"",F_address)</f>
        <v/>
      </c>
      <c r="N89" s="15" cm="1">
        <f t="array" aca="1" ref="N89" ca="1">F_残</f>
        <v>114</v>
      </c>
      <c r="P89" t="str" cm="1">
        <f t="array" aca="1" ref="P89" ca="1">IF(isDataRow,テーブル定義コード_データ行,IF(isTermRow,テーブル定義コード_番兵行,IF(isCloseRow,テーブル定義コード_最終行,"")))</f>
        <v/>
      </c>
    </row>
    <row r="90" spans="1:16">
      <c r="A90" s="19"/>
      <c r="B90" s="19"/>
      <c r="C90" s="19"/>
      <c r="D90" s="19"/>
      <c r="E90" s="20"/>
      <c r="F90" s="20"/>
      <c r="G90" s="19"/>
      <c r="H90" s="19"/>
      <c r="I90" s="10" t="str" cm="1">
        <f t="array" aca="1" ref="I90" ca="1">IF(isEmptyRow,"",F_code)</f>
        <v/>
      </c>
      <c r="J90" s="10" t="str" cm="1">
        <f t="array" aca="1" ref="J90" ca="1">IF(isEmptyRow,"",INDIRECT("C"&amp;ROW())*INDIRECT("D"&amp;ROW()))</f>
        <v/>
      </c>
      <c r="K90" s="10" t="str" cm="1">
        <f t="array" aca="1" ref="K90" ca="1">IF(isEmptyRow,"",J90*2)</f>
        <v/>
      </c>
      <c r="L90" s="10" t="str" cm="1">
        <f t="array" aca="1" ref="L90" ca="1">IF(isEmptyRow,"",F_offset)</f>
        <v/>
      </c>
      <c r="M90" s="11" t="str" cm="1">
        <f t="array" aca="1" ref="M90" ca="1">IF(isEmptyRow,"",F_address)</f>
        <v/>
      </c>
      <c r="N90" s="15" cm="1">
        <f t="array" aca="1" ref="N90" ca="1">F_残</f>
        <v>114</v>
      </c>
      <c r="P90" t="str" cm="1">
        <f t="array" aca="1" ref="P90" ca="1">IF(isDataRow,テーブル定義コード_データ行,IF(isTermRow,テーブル定義コード_番兵行,IF(isCloseRow,テーブル定義コード_最終行,"")))</f>
        <v/>
      </c>
    </row>
    <row r="91" spans="1:16">
      <c r="A91" s="19"/>
      <c r="B91" s="19"/>
      <c r="C91" s="19"/>
      <c r="D91" s="19"/>
      <c r="E91" s="20"/>
      <c r="F91" s="20"/>
      <c r="G91" s="19"/>
      <c r="H91" s="19"/>
      <c r="I91" s="10" t="str" cm="1">
        <f t="array" aca="1" ref="I91" ca="1">IF(isEmptyRow,"",F_code)</f>
        <v/>
      </c>
      <c r="J91" s="10" t="str" cm="1">
        <f t="array" aca="1" ref="J91" ca="1">IF(isEmptyRow,"",INDIRECT("C"&amp;ROW())*INDIRECT("D"&amp;ROW()))</f>
        <v/>
      </c>
      <c r="K91" s="10" t="str" cm="1">
        <f t="array" aca="1" ref="K91" ca="1">IF(isEmptyRow,"",J91*2)</f>
        <v/>
      </c>
      <c r="L91" s="10" t="str" cm="1">
        <f t="array" aca="1" ref="L91" ca="1">IF(isEmptyRow,"",F_offset)</f>
        <v/>
      </c>
      <c r="M91" s="11" t="str" cm="1">
        <f t="array" aca="1" ref="M91" ca="1">IF(isEmptyRow,"",F_address)</f>
        <v/>
      </c>
      <c r="N91" s="15" cm="1">
        <f t="array" aca="1" ref="N91" ca="1">F_残</f>
        <v>114</v>
      </c>
      <c r="P91" t="str" cm="1">
        <f t="array" aca="1" ref="P91" ca="1">IF(isDataRow,テーブル定義コード_データ行,IF(isTermRow,テーブル定義コード_番兵行,IF(isCloseRow,テーブル定義コード_最終行,"")))</f>
        <v/>
      </c>
    </row>
    <row r="92" spans="1:16">
      <c r="A92" s="19"/>
      <c r="B92" s="19"/>
      <c r="C92" s="19"/>
      <c r="D92" s="19"/>
      <c r="E92" s="20"/>
      <c r="F92" s="20"/>
      <c r="G92" s="19"/>
      <c r="H92" s="19"/>
      <c r="I92" s="10" t="str" cm="1">
        <f t="array" aca="1" ref="I92" ca="1">IF(isEmptyRow,"",F_code)</f>
        <v/>
      </c>
      <c r="J92" s="10" t="str" cm="1">
        <f t="array" aca="1" ref="J92" ca="1">IF(isEmptyRow,"",INDIRECT("C"&amp;ROW())*INDIRECT("D"&amp;ROW()))</f>
        <v/>
      </c>
      <c r="K92" s="10" t="str" cm="1">
        <f t="array" aca="1" ref="K92" ca="1">IF(isEmptyRow,"",J92*2)</f>
        <v/>
      </c>
      <c r="L92" s="10" t="str" cm="1">
        <f t="array" aca="1" ref="L92" ca="1">IF(isEmptyRow,"",F_offset)</f>
        <v/>
      </c>
      <c r="M92" s="11" t="str" cm="1">
        <f t="array" aca="1" ref="M92" ca="1">IF(isEmptyRow,"",F_address)</f>
        <v/>
      </c>
      <c r="N92" s="15" cm="1">
        <f t="array" aca="1" ref="N92" ca="1">F_残</f>
        <v>114</v>
      </c>
      <c r="P92" t="str" cm="1">
        <f t="array" aca="1" ref="P92" ca="1">IF(isDataRow,テーブル定義コード_データ行,IF(isTermRow,テーブル定義コード_番兵行,IF(isCloseRow,テーブル定義コード_最終行,"")))</f>
        <v/>
      </c>
    </row>
    <row r="93" spans="1:16">
      <c r="A93" s="19"/>
      <c r="B93" s="19"/>
      <c r="C93" s="19"/>
      <c r="D93" s="19"/>
      <c r="E93" s="20"/>
      <c r="F93" s="20"/>
      <c r="G93" s="19"/>
      <c r="H93" s="19"/>
      <c r="I93" s="10" t="str" cm="1">
        <f t="array" aca="1" ref="I93" ca="1">IF(isEmptyRow,"",F_code)</f>
        <v/>
      </c>
      <c r="J93" s="10" t="str" cm="1">
        <f t="array" aca="1" ref="J93" ca="1">IF(isEmptyRow,"",INDIRECT("C"&amp;ROW())*INDIRECT("D"&amp;ROW()))</f>
        <v/>
      </c>
      <c r="K93" s="10" t="str" cm="1">
        <f t="array" aca="1" ref="K93" ca="1">IF(isEmptyRow,"",J93*2)</f>
        <v/>
      </c>
      <c r="L93" s="10" t="str" cm="1">
        <f t="array" aca="1" ref="L93" ca="1">IF(isEmptyRow,"",F_offset)</f>
        <v/>
      </c>
      <c r="M93" s="11" t="str" cm="1">
        <f t="array" aca="1" ref="M93" ca="1">IF(isEmptyRow,"",F_address)</f>
        <v/>
      </c>
      <c r="N93" s="15" cm="1">
        <f t="array" aca="1" ref="N93" ca="1">F_残</f>
        <v>114</v>
      </c>
      <c r="P93" t="str" cm="1">
        <f t="array" aca="1" ref="P93" ca="1">IF(isDataRow,テーブル定義コード_データ行,IF(isTermRow,テーブル定義コード_番兵行,IF(isCloseRow,テーブル定義コード_最終行,"")))</f>
        <v/>
      </c>
    </row>
    <row r="94" spans="1:16">
      <c r="A94" s="19"/>
      <c r="B94" s="19"/>
      <c r="C94" s="19"/>
      <c r="D94" s="19"/>
      <c r="E94" s="20"/>
      <c r="F94" s="20"/>
      <c r="G94" s="19"/>
      <c r="H94" s="19"/>
      <c r="I94" s="10" t="str" cm="1">
        <f t="array" aca="1" ref="I94" ca="1">IF(isEmptyRow,"",F_code)</f>
        <v/>
      </c>
      <c r="J94" s="10" t="str" cm="1">
        <f t="array" aca="1" ref="J94" ca="1">IF(isEmptyRow,"",INDIRECT("C"&amp;ROW())*INDIRECT("D"&amp;ROW()))</f>
        <v/>
      </c>
      <c r="K94" s="10" t="str" cm="1">
        <f t="array" aca="1" ref="K94" ca="1">IF(isEmptyRow,"",J94*2)</f>
        <v/>
      </c>
      <c r="L94" s="10" t="str" cm="1">
        <f t="array" aca="1" ref="L94" ca="1">IF(isEmptyRow,"",F_offset)</f>
        <v/>
      </c>
      <c r="M94" s="11" t="str" cm="1">
        <f t="array" aca="1" ref="M94" ca="1">IF(isEmptyRow,"",F_address)</f>
        <v/>
      </c>
      <c r="N94" s="15" cm="1">
        <f t="array" aca="1" ref="N94" ca="1">F_残</f>
        <v>114</v>
      </c>
      <c r="P94" t="str" cm="1">
        <f t="array" aca="1" ref="P94" ca="1">IF(isDataRow,テーブル定義コード_データ行,IF(isTermRow,テーブル定義コード_番兵行,IF(isCloseRow,テーブル定義コード_最終行,"")))</f>
        <v/>
      </c>
    </row>
    <row r="95" spans="1:16">
      <c r="A95" s="19"/>
      <c r="B95" s="19"/>
      <c r="C95" s="19"/>
      <c r="D95" s="19"/>
      <c r="E95" s="20"/>
      <c r="F95" s="20"/>
      <c r="G95" s="19"/>
      <c r="H95" s="19"/>
      <c r="I95" s="10" t="str" cm="1">
        <f t="array" aca="1" ref="I95" ca="1">IF(isEmptyRow,"",F_code)</f>
        <v/>
      </c>
      <c r="J95" s="10" t="str" cm="1">
        <f t="array" aca="1" ref="J95" ca="1">IF(isEmptyRow,"",INDIRECT("C"&amp;ROW())*INDIRECT("D"&amp;ROW()))</f>
        <v/>
      </c>
      <c r="K95" s="10" t="str" cm="1">
        <f t="array" aca="1" ref="K95" ca="1">IF(isEmptyRow,"",J95*2)</f>
        <v/>
      </c>
      <c r="L95" s="10" t="str" cm="1">
        <f t="array" aca="1" ref="L95" ca="1">IF(isEmptyRow,"",F_offset)</f>
        <v/>
      </c>
      <c r="M95" s="11" t="str" cm="1">
        <f t="array" aca="1" ref="M95" ca="1">IF(isEmptyRow,"",F_address)</f>
        <v/>
      </c>
      <c r="N95" s="15" cm="1">
        <f t="array" aca="1" ref="N95" ca="1">F_残</f>
        <v>114</v>
      </c>
      <c r="P95" t="str" cm="1">
        <f t="array" aca="1" ref="P95" ca="1">IF(isDataRow,テーブル定義コード_データ行,IF(isTermRow,テーブル定義コード_番兵行,IF(isCloseRow,テーブル定義コード_最終行,"")))</f>
        <v/>
      </c>
    </row>
    <row r="96" spans="1:16">
      <c r="A96" s="19"/>
      <c r="B96" s="19"/>
      <c r="C96" s="19"/>
      <c r="D96" s="19"/>
      <c r="E96" s="20"/>
      <c r="F96" s="20"/>
      <c r="G96" s="19"/>
      <c r="H96" s="19"/>
      <c r="I96" s="10" t="str" cm="1">
        <f t="array" aca="1" ref="I96" ca="1">IF(isEmptyRow,"",F_code)</f>
        <v/>
      </c>
      <c r="J96" s="10" t="str" cm="1">
        <f t="array" aca="1" ref="J96" ca="1">IF(isEmptyRow,"",INDIRECT("C"&amp;ROW())*INDIRECT("D"&amp;ROW()))</f>
        <v/>
      </c>
      <c r="K96" s="10" t="str" cm="1">
        <f t="array" aca="1" ref="K96" ca="1">IF(isEmptyRow,"",J96*2)</f>
        <v/>
      </c>
      <c r="L96" s="10" t="str" cm="1">
        <f t="array" aca="1" ref="L96" ca="1">IF(isEmptyRow,"",F_offset)</f>
        <v/>
      </c>
      <c r="M96" s="11" t="str" cm="1">
        <f t="array" aca="1" ref="M96" ca="1">IF(isEmptyRow,"",F_address)</f>
        <v/>
      </c>
      <c r="N96" s="15" cm="1">
        <f t="array" aca="1" ref="N96" ca="1">F_残</f>
        <v>114</v>
      </c>
      <c r="P96" t="str" cm="1">
        <f t="array" aca="1" ref="P96" ca="1">IF(isDataRow,テーブル定義コード_データ行,IF(isTermRow,テーブル定義コード_番兵行,IF(isCloseRow,テーブル定義コード_最終行,"")))</f>
        <v/>
      </c>
    </row>
    <row r="97" spans="1:16">
      <c r="A97" s="19"/>
      <c r="B97" s="19"/>
      <c r="C97" s="19"/>
      <c r="D97" s="19"/>
      <c r="E97" s="20"/>
      <c r="F97" s="20"/>
      <c r="G97" s="19"/>
      <c r="H97" s="19"/>
      <c r="I97" s="10" t="str" cm="1">
        <f t="array" aca="1" ref="I97" ca="1">IF(isEmptyRow,"",F_code)</f>
        <v/>
      </c>
      <c r="J97" s="10" t="str" cm="1">
        <f t="array" aca="1" ref="J97" ca="1">IF(isEmptyRow,"",INDIRECT("C"&amp;ROW())*INDIRECT("D"&amp;ROW()))</f>
        <v/>
      </c>
      <c r="K97" s="10" t="str" cm="1">
        <f t="array" aca="1" ref="K97" ca="1">IF(isEmptyRow,"",J97*2)</f>
        <v/>
      </c>
      <c r="L97" s="10" t="str" cm="1">
        <f t="array" aca="1" ref="L97" ca="1">IF(isEmptyRow,"",F_offset)</f>
        <v/>
      </c>
      <c r="M97" s="11" t="str" cm="1">
        <f t="array" aca="1" ref="M97" ca="1">IF(isEmptyRow,"",F_address)</f>
        <v/>
      </c>
      <c r="N97" s="15" cm="1">
        <f t="array" aca="1" ref="N97" ca="1">F_残</f>
        <v>114</v>
      </c>
      <c r="P97" t="str" cm="1">
        <f t="array" aca="1" ref="P97" ca="1">IF(isDataRow,テーブル定義コード_データ行,IF(isTermRow,テーブル定義コード_番兵行,IF(isCloseRow,テーブル定義コード_最終行,"")))</f>
        <v/>
      </c>
    </row>
    <row r="98" spans="1:16">
      <c r="A98" s="19"/>
      <c r="B98" s="19"/>
      <c r="C98" s="19"/>
      <c r="D98" s="19"/>
      <c r="E98" s="20"/>
      <c r="F98" s="20"/>
      <c r="G98" s="19"/>
      <c r="H98" s="19"/>
      <c r="I98" s="10" t="str" cm="1">
        <f t="array" aca="1" ref="I98" ca="1">IF(isEmptyRow,"",F_code)</f>
        <v/>
      </c>
      <c r="J98" s="10" t="str" cm="1">
        <f t="array" aca="1" ref="J98" ca="1">IF(isEmptyRow,"",INDIRECT("C"&amp;ROW())*INDIRECT("D"&amp;ROW()))</f>
        <v/>
      </c>
      <c r="K98" s="10" t="str" cm="1">
        <f t="array" aca="1" ref="K98" ca="1">IF(isEmptyRow,"",J98*2)</f>
        <v/>
      </c>
      <c r="L98" s="10" t="str" cm="1">
        <f t="array" aca="1" ref="L98" ca="1">IF(isEmptyRow,"",F_offset)</f>
        <v/>
      </c>
      <c r="M98" s="11" t="str" cm="1">
        <f t="array" aca="1" ref="M98" ca="1">IF(isEmptyRow,"",F_address)</f>
        <v/>
      </c>
      <c r="N98" s="15" cm="1">
        <f t="array" aca="1" ref="N98" ca="1">F_残</f>
        <v>114</v>
      </c>
      <c r="P98" t="str" cm="1">
        <f t="array" aca="1" ref="P98" ca="1">IF(isDataRow,テーブル定義コード_データ行,IF(isTermRow,テーブル定義コード_番兵行,IF(isCloseRow,テーブル定義コード_最終行,"")))</f>
        <v/>
      </c>
    </row>
    <row r="99" spans="1:16">
      <c r="A99" s="19"/>
      <c r="B99" s="19"/>
      <c r="C99" s="19"/>
      <c r="D99" s="19"/>
      <c r="E99" s="20"/>
      <c r="F99" s="20"/>
      <c r="G99" s="19"/>
      <c r="H99" s="19"/>
      <c r="I99" s="10" t="str" cm="1">
        <f t="array" aca="1" ref="I99" ca="1">IF(isEmptyRow,"",F_code)</f>
        <v/>
      </c>
      <c r="J99" s="10" t="str" cm="1">
        <f t="array" aca="1" ref="J99" ca="1">IF(isEmptyRow,"",INDIRECT("C"&amp;ROW())*INDIRECT("D"&amp;ROW()))</f>
        <v/>
      </c>
      <c r="K99" s="10" t="str" cm="1">
        <f t="array" aca="1" ref="K99" ca="1">IF(isEmptyRow,"",J99*2)</f>
        <v/>
      </c>
      <c r="L99" s="10" t="str" cm="1">
        <f t="array" aca="1" ref="L99" ca="1">IF(isEmptyRow,"",F_offset)</f>
        <v/>
      </c>
      <c r="M99" s="11" t="str" cm="1">
        <f t="array" aca="1" ref="M99" ca="1">IF(isEmptyRow,"",F_address)</f>
        <v/>
      </c>
      <c r="N99" s="15" cm="1">
        <f t="array" aca="1" ref="N99" ca="1">F_残</f>
        <v>114</v>
      </c>
      <c r="P99" t="str" cm="1">
        <f t="array" aca="1" ref="P99" ca="1">IF(isDataRow,テーブル定義コード_データ行,IF(isTermRow,テーブル定義コード_番兵行,IF(isCloseRow,テーブル定義コード_最終行,"")))</f>
        <v/>
      </c>
    </row>
    <row r="100" spans="1:16">
      <c r="A100" s="19"/>
      <c r="B100" s="19"/>
      <c r="C100" s="19"/>
      <c r="D100" s="19"/>
      <c r="E100" s="20"/>
      <c r="F100" s="20"/>
      <c r="G100" s="19"/>
      <c r="H100" s="19"/>
      <c r="I100" s="10" t="str" cm="1">
        <f t="array" aca="1" ref="I100" ca="1">IF(isEmptyRow,"",F_code)</f>
        <v/>
      </c>
      <c r="J100" s="10" t="str" cm="1">
        <f t="array" aca="1" ref="J100" ca="1">IF(isEmptyRow,"",INDIRECT("C"&amp;ROW())*INDIRECT("D"&amp;ROW()))</f>
        <v/>
      </c>
      <c r="K100" s="10" t="str" cm="1">
        <f t="array" aca="1" ref="K100" ca="1">IF(isEmptyRow,"",J100*2)</f>
        <v/>
      </c>
      <c r="L100" s="10" t="str" cm="1">
        <f t="array" aca="1" ref="L100" ca="1">IF(isEmptyRow,"",F_offset)</f>
        <v/>
      </c>
      <c r="M100" s="11" t="str" cm="1">
        <f t="array" aca="1" ref="M100" ca="1">IF(isEmptyRow,"",F_address)</f>
        <v/>
      </c>
      <c r="N100" s="15" cm="1">
        <f t="array" aca="1" ref="N100" ca="1">F_残</f>
        <v>114</v>
      </c>
      <c r="P100" t="str" cm="1">
        <f t="array" aca="1" ref="P100" ca="1">IF(isDataRow,テーブル定義コード_データ行,IF(isTermRow,テーブル定義コード_番兵行,IF(isCloseRow,テーブル定義コード_最終行,"")))</f>
        <v/>
      </c>
    </row>
    <row r="101" spans="1:16">
      <c r="A101" s="19"/>
      <c r="B101" s="19"/>
      <c r="C101" s="19"/>
      <c r="D101" s="19"/>
      <c r="E101" s="20"/>
      <c r="F101" s="20"/>
      <c r="G101" s="19"/>
      <c r="H101" s="19"/>
      <c r="I101" s="10" t="str" cm="1">
        <f t="array" aca="1" ref="I101" ca="1">IF(isEmptyRow,"",F_code)</f>
        <v/>
      </c>
      <c r="J101" s="10" t="str" cm="1">
        <f t="array" aca="1" ref="J101" ca="1">IF(isEmptyRow,"",INDIRECT("C"&amp;ROW())*INDIRECT("D"&amp;ROW()))</f>
        <v/>
      </c>
      <c r="K101" s="10" t="str" cm="1">
        <f t="array" aca="1" ref="K101" ca="1">IF(isEmptyRow,"",J101*2)</f>
        <v/>
      </c>
      <c r="L101" s="10" t="str" cm="1">
        <f t="array" aca="1" ref="L101" ca="1">IF(isEmptyRow,"",F_offset)</f>
        <v/>
      </c>
      <c r="M101" s="11" t="str" cm="1">
        <f t="array" aca="1" ref="M101" ca="1">IF(isEmptyRow,"",F_address)</f>
        <v/>
      </c>
      <c r="N101" s="15" cm="1">
        <f t="array" aca="1" ref="N101" ca="1">F_残</f>
        <v>114</v>
      </c>
      <c r="P101" t="str" cm="1">
        <f t="array" aca="1" ref="P101" ca="1">IF(isDataRow,テーブル定義コード_データ行,IF(isTermRow,テーブル定義コード_番兵行,IF(isCloseRow,テーブル定義コード_最終行,"")))</f>
        <v/>
      </c>
    </row>
    <row r="102" spans="1:16">
      <c r="A102" s="19"/>
      <c r="B102" s="19"/>
      <c r="C102" s="19"/>
      <c r="D102" s="19"/>
      <c r="E102" s="20"/>
      <c r="F102" s="20"/>
      <c r="G102" s="19"/>
      <c r="H102" s="19"/>
      <c r="I102" s="10" t="str" cm="1">
        <f t="array" aca="1" ref="I102" ca="1">IF(isEmptyRow,"",F_code)</f>
        <v/>
      </c>
      <c r="J102" s="10" t="str" cm="1">
        <f t="array" aca="1" ref="J102" ca="1">IF(isEmptyRow,"",INDIRECT("C"&amp;ROW())*INDIRECT("D"&amp;ROW()))</f>
        <v/>
      </c>
      <c r="K102" s="10" t="str" cm="1">
        <f t="array" aca="1" ref="K102" ca="1">IF(isEmptyRow,"",J102*2)</f>
        <v/>
      </c>
      <c r="L102" s="10" t="str" cm="1">
        <f t="array" aca="1" ref="L102" ca="1">IF(isEmptyRow,"",F_offset)</f>
        <v/>
      </c>
      <c r="M102" s="11" t="str" cm="1">
        <f t="array" aca="1" ref="M102" ca="1">IF(isEmptyRow,"",F_address)</f>
        <v/>
      </c>
      <c r="N102" s="15" cm="1">
        <f t="array" aca="1" ref="N102" ca="1">F_残</f>
        <v>114</v>
      </c>
      <c r="P102" t="str" cm="1">
        <f t="array" aca="1" ref="P102" ca="1">IF(isDataRow,テーブル定義コード_データ行,IF(isTermRow,テーブル定義コード_番兵行,IF(isCloseRow,テーブル定義コード_最終行,"")))</f>
        <v/>
      </c>
    </row>
    <row r="103" spans="1:16">
      <c r="A103" s="19"/>
      <c r="B103" s="19"/>
      <c r="C103" s="19"/>
      <c r="D103" s="19"/>
      <c r="E103" s="20"/>
      <c r="F103" s="20"/>
      <c r="G103" s="19"/>
      <c r="H103" s="19"/>
      <c r="I103" s="10" t="str" cm="1">
        <f t="array" aca="1" ref="I103" ca="1">IF(isEmptyRow,"",F_code)</f>
        <v/>
      </c>
      <c r="J103" s="10" t="str" cm="1">
        <f t="array" aca="1" ref="J103" ca="1">IF(isEmptyRow,"",INDIRECT("C"&amp;ROW())*INDIRECT("D"&amp;ROW()))</f>
        <v/>
      </c>
      <c r="K103" s="10" t="str" cm="1">
        <f t="array" aca="1" ref="K103" ca="1">IF(isEmptyRow,"",J103*2)</f>
        <v/>
      </c>
      <c r="L103" s="10" t="str" cm="1">
        <f t="array" aca="1" ref="L103" ca="1">IF(isEmptyRow,"",F_offset)</f>
        <v/>
      </c>
      <c r="M103" s="11" t="str" cm="1">
        <f t="array" aca="1" ref="M103" ca="1">IF(isEmptyRow,"",F_address)</f>
        <v/>
      </c>
      <c r="N103" s="15" cm="1">
        <f t="array" aca="1" ref="N103" ca="1">F_残</f>
        <v>114</v>
      </c>
      <c r="P103" t="str" cm="1">
        <f t="array" aca="1" ref="P103" ca="1">IF(isDataRow,テーブル定義コード_データ行,IF(isTermRow,テーブル定義コード_番兵行,IF(isCloseRow,テーブル定義コード_最終行,"")))</f>
        <v/>
      </c>
    </row>
    <row r="104" spans="1:16">
      <c r="A104" s="19"/>
      <c r="B104" s="19"/>
      <c r="C104" s="19"/>
      <c r="D104" s="19"/>
      <c r="E104" s="20"/>
      <c r="F104" s="20"/>
      <c r="G104" s="19"/>
      <c r="H104" s="19"/>
      <c r="I104" s="10" t="str" cm="1">
        <f t="array" aca="1" ref="I104" ca="1">IF(isEmptyRow,"",F_code)</f>
        <v/>
      </c>
      <c r="J104" s="10" t="str" cm="1">
        <f t="array" aca="1" ref="J104" ca="1">IF(isEmptyRow,"",INDIRECT("C"&amp;ROW())*INDIRECT("D"&amp;ROW()))</f>
        <v/>
      </c>
      <c r="K104" s="10" t="str" cm="1">
        <f t="array" aca="1" ref="K104" ca="1">IF(isEmptyRow,"",J104*2)</f>
        <v/>
      </c>
      <c r="L104" s="10" t="str" cm="1">
        <f t="array" aca="1" ref="L104" ca="1">IF(isEmptyRow,"",F_offset)</f>
        <v/>
      </c>
      <c r="M104" s="11" t="str" cm="1">
        <f t="array" aca="1" ref="M104" ca="1">IF(isEmptyRow,"",F_address)</f>
        <v/>
      </c>
      <c r="N104" s="15" cm="1">
        <f t="array" aca="1" ref="N104" ca="1">F_残</f>
        <v>114</v>
      </c>
      <c r="P104" t="str" cm="1">
        <f t="array" aca="1" ref="P104" ca="1">IF(isDataRow,テーブル定義コード_データ行,IF(isTermRow,テーブル定義コード_番兵行,IF(isCloseRow,テーブル定義コード_最終行,"")))</f>
        <v/>
      </c>
    </row>
    <row r="105" spans="1:16">
      <c r="A105" s="19"/>
      <c r="B105" s="19"/>
      <c r="C105" s="19"/>
      <c r="D105" s="19"/>
      <c r="E105" s="20"/>
      <c r="F105" s="20"/>
      <c r="G105" s="19"/>
      <c r="H105" s="19"/>
      <c r="I105" s="10" t="str" cm="1">
        <f t="array" aca="1" ref="I105" ca="1">IF(isEmptyRow,"",F_code)</f>
        <v/>
      </c>
      <c r="J105" s="10" t="str" cm="1">
        <f t="array" aca="1" ref="J105" ca="1">IF(isEmptyRow,"",INDIRECT("C"&amp;ROW())*INDIRECT("D"&amp;ROW()))</f>
        <v/>
      </c>
      <c r="K105" s="10" t="str" cm="1">
        <f t="array" aca="1" ref="K105" ca="1">IF(isEmptyRow,"",J105*2)</f>
        <v/>
      </c>
      <c r="L105" s="10" t="str" cm="1">
        <f t="array" aca="1" ref="L105" ca="1">IF(isEmptyRow,"",F_offset)</f>
        <v/>
      </c>
      <c r="M105" s="11" t="str" cm="1">
        <f t="array" aca="1" ref="M105" ca="1">IF(isEmptyRow,"",F_address)</f>
        <v/>
      </c>
      <c r="N105" s="15" cm="1">
        <f t="array" aca="1" ref="N105" ca="1">F_残</f>
        <v>114</v>
      </c>
      <c r="P105" t="str" cm="1">
        <f t="array" aca="1" ref="P105" ca="1">IF(isDataRow,テーブル定義コード_データ行,IF(isTermRow,テーブル定義コード_番兵行,IF(isCloseRow,テーブル定義コード_最終行,"")))</f>
        <v/>
      </c>
    </row>
    <row r="106" spans="1:16">
      <c r="A106" s="19"/>
      <c r="B106" s="19"/>
      <c r="C106" s="19"/>
      <c r="D106" s="19"/>
      <c r="E106" s="20"/>
      <c r="F106" s="20"/>
      <c r="G106" s="19"/>
      <c r="H106" s="19"/>
      <c r="I106" s="10" t="str" cm="1">
        <f t="array" aca="1" ref="I106" ca="1">IF(isEmptyRow,"",F_code)</f>
        <v/>
      </c>
      <c r="J106" s="10" t="str" cm="1">
        <f t="array" aca="1" ref="J106" ca="1">IF(isEmptyRow,"",INDIRECT("C"&amp;ROW())*INDIRECT("D"&amp;ROW()))</f>
        <v/>
      </c>
      <c r="K106" s="10" t="str" cm="1">
        <f t="array" aca="1" ref="K106" ca="1">IF(isEmptyRow,"",J106*2)</f>
        <v/>
      </c>
      <c r="L106" s="10" t="str" cm="1">
        <f t="array" aca="1" ref="L106" ca="1">IF(isEmptyRow,"",F_offset)</f>
        <v/>
      </c>
      <c r="M106" s="11" t="str" cm="1">
        <f t="array" aca="1" ref="M106" ca="1">IF(isEmptyRow,"",F_address)</f>
        <v/>
      </c>
      <c r="N106" s="15" cm="1">
        <f t="array" aca="1" ref="N106" ca="1">F_残</f>
        <v>114</v>
      </c>
      <c r="P106" t="str" cm="1">
        <f t="array" aca="1" ref="P106" ca="1">IF(isDataRow,テーブル定義コード_データ行,IF(isTermRow,テーブル定義コード_番兵行,IF(isCloseRow,テーブル定義コード_最終行,"")))</f>
        <v/>
      </c>
    </row>
    <row r="107" spans="1:16">
      <c r="A107" s="19"/>
      <c r="B107" s="19"/>
      <c r="C107" s="19"/>
      <c r="D107" s="19"/>
      <c r="E107" s="20"/>
      <c r="F107" s="20"/>
      <c r="G107" s="19"/>
      <c r="H107" s="19"/>
      <c r="I107" s="10" t="str" cm="1">
        <f t="array" aca="1" ref="I107" ca="1">IF(isEmptyRow,"",F_code)</f>
        <v/>
      </c>
      <c r="J107" s="10" t="str" cm="1">
        <f t="array" aca="1" ref="J107" ca="1">IF(isEmptyRow,"",INDIRECT("C"&amp;ROW())*INDIRECT("D"&amp;ROW()))</f>
        <v/>
      </c>
      <c r="K107" s="10" t="str" cm="1">
        <f t="array" aca="1" ref="K107" ca="1">IF(isEmptyRow,"",J107*2)</f>
        <v/>
      </c>
      <c r="L107" s="10" t="str" cm="1">
        <f t="array" aca="1" ref="L107" ca="1">IF(isEmptyRow,"",F_offset)</f>
        <v/>
      </c>
      <c r="M107" s="11" t="str" cm="1">
        <f t="array" aca="1" ref="M107" ca="1">IF(isEmptyRow,"",F_address)</f>
        <v/>
      </c>
      <c r="N107" s="15" cm="1">
        <f t="array" aca="1" ref="N107" ca="1">F_残</f>
        <v>114</v>
      </c>
      <c r="P107" t="str" cm="1">
        <f t="array" aca="1" ref="P107" ca="1">IF(isDataRow,テーブル定義コード_データ行,IF(isTermRow,テーブル定義コード_番兵行,IF(isCloseRow,テーブル定義コード_最終行,"")))</f>
        <v/>
      </c>
    </row>
    <row r="108" spans="1:16">
      <c r="A108" s="19"/>
      <c r="B108" s="19"/>
      <c r="C108" s="19"/>
      <c r="D108" s="19"/>
      <c r="E108" s="20"/>
      <c r="F108" s="20"/>
      <c r="G108" s="19"/>
      <c r="H108" s="19"/>
      <c r="I108" s="10" t="str" cm="1">
        <f t="array" aca="1" ref="I108" ca="1">IF(isEmptyRow,"",F_code)</f>
        <v/>
      </c>
      <c r="J108" s="10" t="str" cm="1">
        <f t="array" aca="1" ref="J108" ca="1">IF(isEmptyRow,"",INDIRECT("C"&amp;ROW())*INDIRECT("D"&amp;ROW()))</f>
        <v/>
      </c>
      <c r="K108" s="10" t="str" cm="1">
        <f t="array" aca="1" ref="K108" ca="1">IF(isEmptyRow,"",J108*2)</f>
        <v/>
      </c>
      <c r="L108" s="10" t="str" cm="1">
        <f t="array" aca="1" ref="L108" ca="1">IF(isEmptyRow,"",F_offset)</f>
        <v/>
      </c>
      <c r="M108" s="11" t="str" cm="1">
        <f t="array" aca="1" ref="M108" ca="1">IF(isEmptyRow,"",F_address)</f>
        <v/>
      </c>
      <c r="N108" s="15" cm="1">
        <f t="array" aca="1" ref="N108" ca="1">F_残</f>
        <v>114</v>
      </c>
      <c r="P108" t="str" cm="1">
        <f t="array" aca="1" ref="P108" ca="1">IF(isDataRow,テーブル定義コード_データ行,IF(isTermRow,テーブル定義コード_番兵行,IF(isCloseRow,テーブル定義コード_最終行,"")))</f>
        <v/>
      </c>
    </row>
    <row r="109" spans="1:16">
      <c r="A109" s="19"/>
      <c r="B109" s="19"/>
      <c r="C109" s="19"/>
      <c r="D109" s="19"/>
      <c r="E109" s="20"/>
      <c r="F109" s="20"/>
      <c r="G109" s="19"/>
      <c r="H109" s="19"/>
      <c r="I109" s="10" t="str" cm="1">
        <f t="array" aca="1" ref="I109" ca="1">IF(isEmptyRow,"",F_code)</f>
        <v/>
      </c>
      <c r="J109" s="10" t="str" cm="1">
        <f t="array" aca="1" ref="J109" ca="1">IF(isEmptyRow,"",INDIRECT("C"&amp;ROW())*INDIRECT("D"&amp;ROW()))</f>
        <v/>
      </c>
      <c r="K109" s="10" t="str" cm="1">
        <f t="array" aca="1" ref="K109" ca="1">IF(isEmptyRow,"",J109*2)</f>
        <v/>
      </c>
      <c r="L109" s="10" t="str" cm="1">
        <f t="array" aca="1" ref="L109" ca="1">IF(isEmptyRow,"",F_offset)</f>
        <v/>
      </c>
      <c r="M109" s="11" t="str" cm="1">
        <f t="array" aca="1" ref="M109" ca="1">IF(isEmptyRow,"",F_address)</f>
        <v/>
      </c>
      <c r="N109" s="15" cm="1">
        <f t="array" aca="1" ref="N109" ca="1">F_残</f>
        <v>114</v>
      </c>
      <c r="P109" t="str" cm="1">
        <f t="array" aca="1" ref="P109" ca="1">IF(isDataRow,テーブル定義コード_データ行,IF(isTermRow,テーブル定義コード_番兵行,IF(isCloseRow,テーブル定義コード_最終行,"")))</f>
        <v/>
      </c>
    </row>
    <row r="110" spans="1:16">
      <c r="A110" s="19"/>
      <c r="B110" s="19"/>
      <c r="C110" s="19"/>
      <c r="D110" s="19"/>
      <c r="E110" s="20"/>
      <c r="F110" s="20"/>
      <c r="G110" s="19"/>
      <c r="H110" s="19"/>
      <c r="I110" s="10" t="str" cm="1">
        <f t="array" aca="1" ref="I110" ca="1">IF(isEmptyRow,"",F_code)</f>
        <v/>
      </c>
      <c r="J110" s="10" t="str" cm="1">
        <f t="array" aca="1" ref="J110" ca="1">IF(isEmptyRow,"",INDIRECT("C"&amp;ROW())*INDIRECT("D"&amp;ROW()))</f>
        <v/>
      </c>
      <c r="K110" s="10" t="str" cm="1">
        <f t="array" aca="1" ref="K110" ca="1">IF(isEmptyRow,"",J110*2)</f>
        <v/>
      </c>
      <c r="L110" s="10" t="str" cm="1">
        <f t="array" aca="1" ref="L110" ca="1">IF(isEmptyRow,"",F_offset)</f>
        <v/>
      </c>
      <c r="M110" s="11" t="str" cm="1">
        <f t="array" aca="1" ref="M110" ca="1">IF(isEmptyRow,"",F_address)</f>
        <v/>
      </c>
      <c r="N110" s="15" cm="1">
        <f t="array" aca="1" ref="N110" ca="1">F_残</f>
        <v>114</v>
      </c>
      <c r="P110" t="str" cm="1">
        <f t="array" aca="1" ref="P110" ca="1">IF(isDataRow,テーブル定義コード_データ行,IF(isTermRow,テーブル定義コード_番兵行,IF(isCloseRow,テーブル定義コード_最終行,"")))</f>
        <v/>
      </c>
    </row>
    <row r="111" spans="1:16">
      <c r="A111" s="19"/>
      <c r="B111" s="19"/>
      <c r="C111" s="19"/>
      <c r="D111" s="19"/>
      <c r="E111" s="20"/>
      <c r="F111" s="20"/>
      <c r="G111" s="19"/>
      <c r="H111" s="19"/>
      <c r="I111" s="10" t="str" cm="1">
        <f t="array" aca="1" ref="I111" ca="1">IF(isEmptyRow,"",F_code)</f>
        <v/>
      </c>
      <c r="J111" s="10" t="str" cm="1">
        <f t="array" aca="1" ref="J111" ca="1">IF(isEmptyRow,"",INDIRECT("C"&amp;ROW())*INDIRECT("D"&amp;ROW()))</f>
        <v/>
      </c>
      <c r="K111" s="10" t="str" cm="1">
        <f t="array" aca="1" ref="K111" ca="1">IF(isEmptyRow,"",J111*2)</f>
        <v/>
      </c>
      <c r="L111" s="10" t="str" cm="1">
        <f t="array" aca="1" ref="L111" ca="1">IF(isEmptyRow,"",F_offset)</f>
        <v/>
      </c>
      <c r="M111" s="11" t="str" cm="1">
        <f t="array" aca="1" ref="M111" ca="1">IF(isEmptyRow,"",F_address)</f>
        <v/>
      </c>
      <c r="N111" s="15" cm="1">
        <f t="array" aca="1" ref="N111" ca="1">F_残</f>
        <v>114</v>
      </c>
      <c r="P111" t="str" cm="1">
        <f t="array" aca="1" ref="P111" ca="1">IF(isDataRow,テーブル定義コード_データ行,IF(isTermRow,テーブル定義コード_番兵行,IF(isCloseRow,テーブル定義コード_最終行,"")))</f>
        <v/>
      </c>
    </row>
    <row r="112" spans="1:16">
      <c r="A112" s="19"/>
      <c r="B112" s="19"/>
      <c r="C112" s="19"/>
      <c r="D112" s="19"/>
      <c r="E112" s="20"/>
      <c r="F112" s="20"/>
      <c r="G112" s="19"/>
      <c r="H112" s="19"/>
      <c r="I112" s="10" t="str" cm="1">
        <f t="array" aca="1" ref="I112" ca="1">IF(isEmptyRow,"",F_code)</f>
        <v/>
      </c>
      <c r="J112" s="10" t="str" cm="1">
        <f t="array" aca="1" ref="J112" ca="1">IF(isEmptyRow,"",INDIRECT("C"&amp;ROW())*INDIRECT("D"&amp;ROW()))</f>
        <v/>
      </c>
      <c r="K112" s="10" t="str" cm="1">
        <f t="array" aca="1" ref="K112" ca="1">IF(isEmptyRow,"",J112*2)</f>
        <v/>
      </c>
      <c r="L112" s="10" t="str" cm="1">
        <f t="array" aca="1" ref="L112" ca="1">IF(isEmptyRow,"",F_offset)</f>
        <v/>
      </c>
      <c r="M112" s="11" t="str" cm="1">
        <f t="array" aca="1" ref="M112" ca="1">IF(isEmptyRow,"",F_address)</f>
        <v/>
      </c>
      <c r="N112" s="15" cm="1">
        <f t="array" aca="1" ref="N112" ca="1">F_残</f>
        <v>114</v>
      </c>
      <c r="P112" t="str" cm="1">
        <f t="array" aca="1" ref="P112" ca="1">IF(isDataRow,テーブル定義コード_データ行,IF(isTermRow,テーブル定義コード_番兵行,IF(isCloseRow,テーブル定義コード_最終行,"")))</f>
        <v/>
      </c>
    </row>
    <row r="113" spans="1:16">
      <c r="A113" s="19"/>
      <c r="B113" s="19"/>
      <c r="C113" s="19"/>
      <c r="D113" s="19"/>
      <c r="E113" s="20"/>
      <c r="F113" s="20"/>
      <c r="G113" s="19"/>
      <c r="H113" s="19"/>
      <c r="I113" s="10" t="str" cm="1">
        <f t="array" aca="1" ref="I113" ca="1">IF(isEmptyRow,"",F_code)</f>
        <v/>
      </c>
      <c r="J113" s="10" t="str" cm="1">
        <f t="array" aca="1" ref="J113" ca="1">IF(isEmptyRow,"",INDIRECT("C"&amp;ROW())*INDIRECT("D"&amp;ROW()))</f>
        <v/>
      </c>
      <c r="K113" s="10" t="str" cm="1">
        <f t="array" aca="1" ref="K113" ca="1">IF(isEmptyRow,"",J113*2)</f>
        <v/>
      </c>
      <c r="L113" s="10" t="str" cm="1">
        <f t="array" aca="1" ref="L113" ca="1">IF(isEmptyRow,"",F_offset)</f>
        <v/>
      </c>
      <c r="M113" s="11" t="str" cm="1">
        <f t="array" aca="1" ref="M113" ca="1">IF(isEmptyRow,"",F_address)</f>
        <v/>
      </c>
      <c r="N113" s="15" cm="1">
        <f t="array" aca="1" ref="N113" ca="1">F_残</f>
        <v>114</v>
      </c>
      <c r="P113" t="str" cm="1">
        <f t="array" aca="1" ref="P113" ca="1">IF(isDataRow,テーブル定義コード_データ行,IF(isTermRow,テーブル定義コード_番兵行,IF(isCloseRow,テーブル定義コード_最終行,"")))</f>
        <v/>
      </c>
    </row>
    <row r="114" spans="1:16">
      <c r="A114" s="19"/>
      <c r="B114" s="19"/>
      <c r="C114" s="19"/>
      <c r="D114" s="19"/>
      <c r="E114" s="20"/>
      <c r="F114" s="20"/>
      <c r="G114" s="19"/>
      <c r="H114" s="19"/>
      <c r="I114" s="10" t="str" cm="1">
        <f t="array" aca="1" ref="I114" ca="1">IF(isEmptyRow,"",F_code)</f>
        <v/>
      </c>
      <c r="J114" s="10" t="str" cm="1">
        <f t="array" aca="1" ref="J114" ca="1">IF(isEmptyRow,"",INDIRECT("C"&amp;ROW())*INDIRECT("D"&amp;ROW()))</f>
        <v/>
      </c>
      <c r="K114" s="10" t="str" cm="1">
        <f t="array" aca="1" ref="K114" ca="1">IF(isEmptyRow,"",J114*2)</f>
        <v/>
      </c>
      <c r="L114" s="10" t="str" cm="1">
        <f t="array" aca="1" ref="L114" ca="1">IF(isEmptyRow,"",F_offset)</f>
        <v/>
      </c>
      <c r="M114" s="11" t="str" cm="1">
        <f t="array" aca="1" ref="M114" ca="1">IF(isEmptyRow,"",F_address)</f>
        <v/>
      </c>
      <c r="N114" s="15" cm="1">
        <f t="array" aca="1" ref="N114" ca="1">F_残</f>
        <v>114</v>
      </c>
      <c r="P114" t="str" cm="1">
        <f t="array" aca="1" ref="P114" ca="1">IF(isDataRow,テーブル定義コード_データ行,IF(isTermRow,テーブル定義コード_番兵行,IF(isCloseRow,テーブル定義コード_最終行,"")))</f>
        <v/>
      </c>
    </row>
    <row r="115" spans="1:16">
      <c r="A115" s="19"/>
      <c r="B115" s="19"/>
      <c r="C115" s="19"/>
      <c r="D115" s="19"/>
      <c r="E115" s="20"/>
      <c r="F115" s="20"/>
      <c r="G115" s="19"/>
      <c r="H115" s="19"/>
      <c r="I115" s="10" t="str" cm="1">
        <f t="array" aca="1" ref="I115" ca="1">IF(isEmptyRow,"",F_code)</f>
        <v/>
      </c>
      <c r="J115" s="10" t="str" cm="1">
        <f t="array" aca="1" ref="J115" ca="1">IF(isEmptyRow,"",INDIRECT("C"&amp;ROW())*INDIRECT("D"&amp;ROW()))</f>
        <v/>
      </c>
      <c r="K115" s="10" t="str" cm="1">
        <f t="array" aca="1" ref="K115" ca="1">IF(isEmptyRow,"",J115*2)</f>
        <v/>
      </c>
      <c r="L115" s="10" t="str" cm="1">
        <f t="array" aca="1" ref="L115" ca="1">IF(isEmptyRow,"",F_offset)</f>
        <v/>
      </c>
      <c r="M115" s="11" t="str" cm="1">
        <f t="array" aca="1" ref="M115" ca="1">IF(isEmptyRow,"",F_address)</f>
        <v/>
      </c>
      <c r="N115" s="15" cm="1">
        <f t="array" aca="1" ref="N115" ca="1">F_残</f>
        <v>114</v>
      </c>
      <c r="P115" t="str" cm="1">
        <f t="array" aca="1" ref="P115" ca="1">IF(isDataRow,テーブル定義コード_データ行,IF(isTermRow,テーブル定義コード_番兵行,IF(isCloseRow,テーブル定義コード_最終行,"")))</f>
        <v/>
      </c>
    </row>
    <row r="116" spans="1:16">
      <c r="A116" s="19"/>
      <c r="B116" s="19"/>
      <c r="C116" s="19"/>
      <c r="D116" s="19"/>
      <c r="E116" s="20"/>
      <c r="F116" s="20"/>
      <c r="G116" s="19"/>
      <c r="H116" s="19"/>
      <c r="I116" s="10" t="str" cm="1">
        <f t="array" aca="1" ref="I116" ca="1">IF(isEmptyRow,"",F_code)</f>
        <v/>
      </c>
      <c r="J116" s="10" t="str" cm="1">
        <f t="array" aca="1" ref="J116" ca="1">IF(isEmptyRow,"",INDIRECT("C"&amp;ROW())*INDIRECT("D"&amp;ROW()))</f>
        <v/>
      </c>
      <c r="K116" s="10" t="str" cm="1">
        <f t="array" aca="1" ref="K116" ca="1">IF(isEmptyRow,"",J116*2)</f>
        <v/>
      </c>
      <c r="L116" s="10" t="str" cm="1">
        <f t="array" aca="1" ref="L116" ca="1">IF(isEmptyRow,"",F_offset)</f>
        <v/>
      </c>
      <c r="M116" s="11" t="str" cm="1">
        <f t="array" aca="1" ref="M116" ca="1">IF(isEmptyRow,"",F_address)</f>
        <v/>
      </c>
      <c r="N116" s="15" cm="1">
        <f t="array" aca="1" ref="N116" ca="1">F_残</f>
        <v>114</v>
      </c>
      <c r="P116" t="str" cm="1">
        <f t="array" aca="1" ref="P116" ca="1">IF(isDataRow,テーブル定義コード_データ行,IF(isTermRow,テーブル定義コード_番兵行,IF(isCloseRow,テーブル定義コード_最終行,"")))</f>
        <v/>
      </c>
    </row>
    <row r="117" spans="1:16">
      <c r="A117" s="19"/>
      <c r="B117" s="19"/>
      <c r="C117" s="19"/>
      <c r="D117" s="19"/>
      <c r="E117" s="20"/>
      <c r="F117" s="20"/>
      <c r="G117" s="19"/>
      <c r="H117" s="19"/>
      <c r="I117" s="10" t="str" cm="1">
        <f t="array" aca="1" ref="I117" ca="1">IF(isEmptyRow,"",F_code)</f>
        <v/>
      </c>
      <c r="J117" s="10" t="str" cm="1">
        <f t="array" aca="1" ref="J117" ca="1">IF(isEmptyRow,"",INDIRECT("C"&amp;ROW())*INDIRECT("D"&amp;ROW()))</f>
        <v/>
      </c>
      <c r="K117" s="10" t="str" cm="1">
        <f t="array" aca="1" ref="K117" ca="1">IF(isEmptyRow,"",J117*2)</f>
        <v/>
      </c>
      <c r="L117" s="10" t="str" cm="1">
        <f t="array" aca="1" ref="L117" ca="1">IF(isEmptyRow,"",F_offset)</f>
        <v/>
      </c>
      <c r="M117" s="11" t="str" cm="1">
        <f t="array" aca="1" ref="M117" ca="1">IF(isEmptyRow,"",F_address)</f>
        <v/>
      </c>
      <c r="N117" s="15" cm="1">
        <f t="array" aca="1" ref="N117" ca="1">F_残</f>
        <v>114</v>
      </c>
      <c r="P117" t="str" cm="1">
        <f t="array" aca="1" ref="P117" ca="1">IF(isDataRow,テーブル定義コード_データ行,IF(isTermRow,テーブル定義コード_番兵行,IF(isCloseRow,テーブル定義コード_最終行,"")))</f>
        <v/>
      </c>
    </row>
    <row r="118" spans="1:16">
      <c r="A118" s="19"/>
      <c r="B118" s="19"/>
      <c r="C118" s="19"/>
      <c r="D118" s="19"/>
      <c r="E118" s="20"/>
      <c r="F118" s="20"/>
      <c r="G118" s="19"/>
      <c r="H118" s="19"/>
      <c r="I118" s="10" t="str" cm="1">
        <f t="array" aca="1" ref="I118" ca="1">IF(isEmptyRow,"",F_code)</f>
        <v/>
      </c>
      <c r="J118" s="10" t="str" cm="1">
        <f t="array" aca="1" ref="J118" ca="1">IF(isEmptyRow,"",INDIRECT("C"&amp;ROW())*INDIRECT("D"&amp;ROW()))</f>
        <v/>
      </c>
      <c r="K118" s="10" t="str" cm="1">
        <f t="array" aca="1" ref="K118" ca="1">IF(isEmptyRow,"",J118*2)</f>
        <v/>
      </c>
      <c r="L118" s="10" t="str" cm="1">
        <f t="array" aca="1" ref="L118" ca="1">IF(isEmptyRow,"",F_offset)</f>
        <v/>
      </c>
      <c r="M118" s="11" t="str" cm="1">
        <f t="array" aca="1" ref="M118" ca="1">IF(isEmptyRow,"",F_address)</f>
        <v/>
      </c>
      <c r="N118" s="15" cm="1">
        <f t="array" aca="1" ref="N118" ca="1">F_残</f>
        <v>114</v>
      </c>
      <c r="P118" t="str" cm="1">
        <f t="array" aca="1" ref="P118" ca="1">IF(isDataRow,テーブル定義コード_データ行,IF(isTermRow,テーブル定義コード_番兵行,IF(isCloseRow,テーブル定義コード_最終行,"")))</f>
        <v/>
      </c>
    </row>
    <row r="119" spans="1:16">
      <c r="A119" s="19"/>
      <c r="B119" s="19"/>
      <c r="C119" s="19"/>
      <c r="D119" s="19"/>
      <c r="E119" s="20"/>
      <c r="F119" s="20"/>
      <c r="G119" s="19"/>
      <c r="H119" s="19"/>
      <c r="I119" s="10" t="str" cm="1">
        <f t="array" aca="1" ref="I119" ca="1">IF(isEmptyRow,"",F_code)</f>
        <v/>
      </c>
      <c r="J119" s="10" t="str" cm="1">
        <f t="array" aca="1" ref="J119" ca="1">IF(isEmptyRow,"",INDIRECT("C"&amp;ROW())*INDIRECT("D"&amp;ROW()))</f>
        <v/>
      </c>
      <c r="K119" s="10" t="str" cm="1">
        <f t="array" aca="1" ref="K119" ca="1">IF(isEmptyRow,"",J119*2)</f>
        <v/>
      </c>
      <c r="L119" s="10" t="str" cm="1">
        <f t="array" aca="1" ref="L119" ca="1">IF(isEmptyRow,"",F_offset)</f>
        <v/>
      </c>
      <c r="M119" s="11" t="str" cm="1">
        <f t="array" aca="1" ref="M119" ca="1">IF(isEmptyRow,"",F_address)</f>
        <v/>
      </c>
      <c r="N119" s="15" cm="1">
        <f t="array" aca="1" ref="N119" ca="1">F_残</f>
        <v>114</v>
      </c>
      <c r="P119" t="str" cm="1">
        <f t="array" aca="1" ref="P119" ca="1">IF(isDataRow,テーブル定義コード_データ行,IF(isTermRow,テーブル定義コード_番兵行,IF(isCloseRow,テーブル定義コード_最終行,"")))</f>
        <v/>
      </c>
    </row>
    <row r="120" spans="1:16">
      <c r="A120" s="19"/>
      <c r="B120" s="19"/>
      <c r="C120" s="19"/>
      <c r="D120" s="19"/>
      <c r="E120" s="20"/>
      <c r="F120" s="20"/>
      <c r="G120" s="19"/>
      <c r="H120" s="19"/>
      <c r="I120" s="10" t="str" cm="1">
        <f t="array" aca="1" ref="I120" ca="1">IF(isEmptyRow,"",F_code)</f>
        <v/>
      </c>
      <c r="J120" s="10" t="str" cm="1">
        <f t="array" aca="1" ref="J120" ca="1">IF(isEmptyRow,"",INDIRECT("C"&amp;ROW())*INDIRECT("D"&amp;ROW()))</f>
        <v/>
      </c>
      <c r="K120" s="10" t="str" cm="1">
        <f t="array" aca="1" ref="K120" ca="1">IF(isEmptyRow,"",J120*2)</f>
        <v/>
      </c>
      <c r="L120" s="10" t="str" cm="1">
        <f t="array" aca="1" ref="L120" ca="1">IF(isEmptyRow,"",F_offset)</f>
        <v/>
      </c>
      <c r="M120" s="11" t="str" cm="1">
        <f t="array" aca="1" ref="M120" ca="1">IF(isEmptyRow,"",F_address)</f>
        <v/>
      </c>
      <c r="N120" s="15" cm="1">
        <f t="array" aca="1" ref="N120" ca="1">F_残</f>
        <v>114</v>
      </c>
      <c r="P120" t="str" cm="1">
        <f t="array" aca="1" ref="P120" ca="1">IF(isDataRow,テーブル定義コード_データ行,IF(isTermRow,テーブル定義コード_番兵行,IF(isCloseRow,テーブル定義コード_最終行,"")))</f>
        <v/>
      </c>
    </row>
    <row r="121" spans="1:16">
      <c r="A121" s="19"/>
      <c r="B121" s="19"/>
      <c r="C121" s="19"/>
      <c r="D121" s="19"/>
      <c r="E121" s="20"/>
      <c r="F121" s="20"/>
      <c r="G121" s="19"/>
      <c r="H121" s="19"/>
      <c r="I121" s="10" t="str" cm="1">
        <f t="array" aca="1" ref="I121" ca="1">IF(isEmptyRow,"",F_code)</f>
        <v/>
      </c>
      <c r="J121" s="10" t="str" cm="1">
        <f t="array" aca="1" ref="J121" ca="1">IF(isEmptyRow,"",INDIRECT("C"&amp;ROW())*INDIRECT("D"&amp;ROW()))</f>
        <v/>
      </c>
      <c r="K121" s="10" t="str" cm="1">
        <f t="array" aca="1" ref="K121" ca="1">IF(isEmptyRow,"",J121*2)</f>
        <v/>
      </c>
      <c r="L121" s="10" t="str" cm="1">
        <f t="array" aca="1" ref="L121" ca="1">IF(isEmptyRow,"",F_offset)</f>
        <v/>
      </c>
      <c r="M121" s="11" t="str" cm="1">
        <f t="array" aca="1" ref="M121" ca="1">IF(isEmptyRow,"",F_address)</f>
        <v/>
      </c>
      <c r="N121" s="15" cm="1">
        <f t="array" aca="1" ref="N121" ca="1">F_残</f>
        <v>114</v>
      </c>
      <c r="P121" t="str" cm="1">
        <f t="array" aca="1" ref="P121" ca="1">IF(isDataRow,テーブル定義コード_データ行,IF(isTermRow,テーブル定義コード_番兵行,IF(isCloseRow,テーブル定義コード_最終行,"")))</f>
        <v/>
      </c>
    </row>
    <row r="122" spans="1:16">
      <c r="A122" s="19"/>
      <c r="B122" s="19"/>
      <c r="C122" s="19"/>
      <c r="D122" s="19"/>
      <c r="E122" s="20"/>
      <c r="F122" s="20"/>
      <c r="G122" s="19"/>
      <c r="H122" s="19"/>
      <c r="I122" s="10" t="str" cm="1">
        <f t="array" aca="1" ref="I122" ca="1">IF(isEmptyRow,"",F_code)</f>
        <v/>
      </c>
      <c r="J122" s="10" t="str" cm="1">
        <f t="array" aca="1" ref="J122" ca="1">IF(isEmptyRow,"",INDIRECT("C"&amp;ROW())*INDIRECT("D"&amp;ROW()))</f>
        <v/>
      </c>
      <c r="K122" s="10" t="str" cm="1">
        <f t="array" aca="1" ref="K122" ca="1">IF(isEmptyRow,"",J122*2)</f>
        <v/>
      </c>
      <c r="L122" s="10" t="str" cm="1">
        <f t="array" aca="1" ref="L122" ca="1">IF(isEmptyRow,"",F_offset)</f>
        <v/>
      </c>
      <c r="M122" s="11" t="str" cm="1">
        <f t="array" aca="1" ref="M122" ca="1">IF(isEmptyRow,"",F_address)</f>
        <v/>
      </c>
      <c r="N122" s="15" cm="1">
        <f t="array" aca="1" ref="N122" ca="1">F_残</f>
        <v>114</v>
      </c>
      <c r="P122" t="str" cm="1">
        <f t="array" aca="1" ref="P122" ca="1">IF(isDataRow,テーブル定義コード_データ行,IF(isTermRow,テーブル定義コード_番兵行,IF(isCloseRow,テーブル定義コード_最終行,"")))</f>
        <v/>
      </c>
    </row>
    <row r="123" spans="1:16">
      <c r="A123" s="19"/>
      <c r="B123" s="19"/>
      <c r="C123" s="19"/>
      <c r="D123" s="19"/>
      <c r="E123" s="20"/>
      <c r="F123" s="20"/>
      <c r="G123" s="19"/>
      <c r="H123" s="19"/>
      <c r="I123" s="10" t="str" cm="1">
        <f t="array" aca="1" ref="I123" ca="1">IF(isEmptyRow,"",F_code)</f>
        <v/>
      </c>
      <c r="J123" s="10" t="str" cm="1">
        <f t="array" aca="1" ref="J123" ca="1">IF(isEmptyRow,"",INDIRECT("C"&amp;ROW())*INDIRECT("D"&amp;ROW()))</f>
        <v/>
      </c>
      <c r="K123" s="10" t="str" cm="1">
        <f t="array" aca="1" ref="K123" ca="1">IF(isEmptyRow,"",J123*2)</f>
        <v/>
      </c>
      <c r="L123" s="10" t="str" cm="1">
        <f t="array" aca="1" ref="L123" ca="1">IF(isEmptyRow,"",F_offset)</f>
        <v/>
      </c>
      <c r="M123" s="11" t="str" cm="1">
        <f t="array" aca="1" ref="M123" ca="1">IF(isEmptyRow,"",F_address)</f>
        <v/>
      </c>
      <c r="N123" s="15" cm="1">
        <f t="array" aca="1" ref="N123" ca="1">F_残</f>
        <v>114</v>
      </c>
      <c r="P123" t="str" cm="1">
        <f t="array" aca="1" ref="P123" ca="1">IF(isDataRow,テーブル定義コード_データ行,IF(isTermRow,テーブル定義コード_番兵行,IF(isCloseRow,テーブル定義コード_最終行,"")))</f>
        <v/>
      </c>
    </row>
    <row r="124" spans="1:16">
      <c r="A124" s="19"/>
      <c r="B124" s="19"/>
      <c r="C124" s="19"/>
      <c r="D124" s="19"/>
      <c r="E124" s="20"/>
      <c r="F124" s="20"/>
      <c r="G124" s="19"/>
      <c r="H124" s="19"/>
      <c r="I124" s="10" t="str" cm="1">
        <f t="array" aca="1" ref="I124" ca="1">IF(isEmptyRow,"",F_code)</f>
        <v/>
      </c>
      <c r="J124" s="10" t="str" cm="1">
        <f t="array" aca="1" ref="J124" ca="1">IF(isEmptyRow,"",INDIRECT("C"&amp;ROW())*INDIRECT("D"&amp;ROW()))</f>
        <v/>
      </c>
      <c r="K124" s="10" t="str" cm="1">
        <f t="array" aca="1" ref="K124" ca="1">IF(isEmptyRow,"",J124*2)</f>
        <v/>
      </c>
      <c r="L124" s="10" t="str" cm="1">
        <f t="array" aca="1" ref="L124" ca="1">IF(isEmptyRow,"",F_offset)</f>
        <v/>
      </c>
      <c r="M124" s="11" t="str" cm="1">
        <f t="array" aca="1" ref="M124" ca="1">IF(isEmptyRow,"",F_address)</f>
        <v/>
      </c>
      <c r="N124" s="15" cm="1">
        <f t="array" aca="1" ref="N124" ca="1">F_残</f>
        <v>114</v>
      </c>
      <c r="P124" t="str" cm="1">
        <f t="array" aca="1" ref="P124" ca="1">IF(isDataRow,テーブル定義コード_データ行,IF(isTermRow,テーブル定義コード_番兵行,IF(isCloseRow,テーブル定義コード_最終行,"")))</f>
        <v/>
      </c>
    </row>
    <row r="125" spans="1:16">
      <c r="A125" s="19"/>
      <c r="B125" s="19"/>
      <c r="C125" s="19"/>
      <c r="D125" s="19"/>
      <c r="E125" s="20"/>
      <c r="F125" s="20"/>
      <c r="G125" s="19"/>
      <c r="H125" s="19"/>
      <c r="I125" s="10" t="str" cm="1">
        <f t="array" aca="1" ref="I125" ca="1">IF(isEmptyRow,"",F_code)</f>
        <v/>
      </c>
      <c r="J125" s="10" t="str" cm="1">
        <f t="array" aca="1" ref="J125" ca="1">IF(isEmptyRow,"",INDIRECT("C"&amp;ROW())*INDIRECT("D"&amp;ROW()))</f>
        <v/>
      </c>
      <c r="K125" s="10" t="str" cm="1">
        <f t="array" aca="1" ref="K125" ca="1">IF(isEmptyRow,"",J125*2)</f>
        <v/>
      </c>
      <c r="L125" s="10" t="str" cm="1">
        <f t="array" aca="1" ref="L125" ca="1">IF(isEmptyRow,"",F_offset)</f>
        <v/>
      </c>
      <c r="M125" s="11" t="str" cm="1">
        <f t="array" aca="1" ref="M125" ca="1">IF(isEmptyRow,"",F_address)</f>
        <v/>
      </c>
      <c r="N125" s="15" cm="1">
        <f t="array" aca="1" ref="N125" ca="1">F_残</f>
        <v>114</v>
      </c>
      <c r="P125" t="str" cm="1">
        <f t="array" aca="1" ref="P125" ca="1">IF(isDataRow,テーブル定義コード_データ行,IF(isTermRow,テーブル定義コード_番兵行,IF(isCloseRow,テーブル定義コード_最終行,"")))</f>
        <v/>
      </c>
    </row>
    <row r="126" spans="1:16">
      <c r="A126" s="19"/>
      <c r="B126" s="19"/>
      <c r="C126" s="19"/>
      <c r="D126" s="19"/>
      <c r="E126" s="20"/>
      <c r="F126" s="20"/>
      <c r="G126" s="19"/>
      <c r="H126" s="19"/>
      <c r="I126" s="10" t="str" cm="1">
        <f t="array" aca="1" ref="I126" ca="1">IF(isEmptyRow,"",F_code)</f>
        <v/>
      </c>
      <c r="J126" s="10" t="str" cm="1">
        <f t="array" aca="1" ref="J126" ca="1">IF(isEmptyRow,"",INDIRECT("C"&amp;ROW())*INDIRECT("D"&amp;ROW()))</f>
        <v/>
      </c>
      <c r="K126" s="10" t="str" cm="1">
        <f t="array" aca="1" ref="K126" ca="1">IF(isEmptyRow,"",J126*2)</f>
        <v/>
      </c>
      <c r="L126" s="10" t="str" cm="1">
        <f t="array" aca="1" ref="L126" ca="1">IF(isEmptyRow,"",F_offset)</f>
        <v/>
      </c>
      <c r="M126" s="11" t="str" cm="1">
        <f t="array" aca="1" ref="M126" ca="1">IF(isEmptyRow,"",F_address)</f>
        <v/>
      </c>
      <c r="N126" s="15" cm="1">
        <f t="array" aca="1" ref="N126" ca="1">F_残</f>
        <v>114</v>
      </c>
      <c r="P126" t="str" cm="1">
        <f t="array" aca="1" ref="P126" ca="1">IF(isDataRow,テーブル定義コード_データ行,IF(isTermRow,テーブル定義コード_番兵行,IF(isCloseRow,テーブル定義コード_最終行,"")))</f>
        <v/>
      </c>
    </row>
    <row r="127" spans="1:16">
      <c r="A127" s="21"/>
      <c r="B127" s="21"/>
      <c r="C127" s="21"/>
      <c r="D127" s="21"/>
      <c r="E127" s="22"/>
      <c r="F127" s="22"/>
      <c r="G127" s="21"/>
      <c r="H127" s="21"/>
      <c r="I127" s="12" t="str" cm="1">
        <f t="array" aca="1" ref="I127" ca="1">IF(isEmptyRow,"",F_code)</f>
        <v/>
      </c>
      <c r="J127" s="12" t="str" cm="1">
        <f t="array" aca="1" ref="J127" ca="1">IF(isEmptyRow,"",INDIRECT("C"&amp;ROW())*INDIRECT("D"&amp;ROW()))</f>
        <v/>
      </c>
      <c r="K127" s="12" t="str" cm="1">
        <f t="array" aca="1" ref="K127" ca="1">IF(isEmptyRow,"",J127*2)</f>
        <v/>
      </c>
      <c r="L127" s="12" t="str" cm="1">
        <f t="array" aca="1" ref="L127" ca="1">IF(isEmptyRow,"",F_offset)</f>
        <v/>
      </c>
      <c r="M127" s="13" t="str" cm="1">
        <f t="array" aca="1" ref="M127" ca="1">IF(isEmptyRow,"",F_address)</f>
        <v/>
      </c>
      <c r="N127" s="16" cm="1">
        <f t="array" aca="1" ref="N127" ca="1">F_残</f>
        <v>114</v>
      </c>
      <c r="P127" t="str" cm="1">
        <f t="array" aca="1" ref="P127" ca="1">IF(isDataRow,テーブル定義コード_データ行,IF(isTermRow,テーブル定義コード_番兵行,IF(isCloseRow,テーブル定義コード_最終行,"")))</f>
        <v/>
      </c>
    </row>
  </sheetData>
  <sheetProtection formatCells="0" formatColumns="0" formatRows="0" autoFilter="0"/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A5FA78-0870-4257-AF13-DCAD45A7F386}">
          <x14:formula1>
            <xm:f>表記フォーマット!$A$2:$A$126</xm:f>
          </x14:formula1>
          <xm:sqref>G2:G127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説明書</vt:lpstr>
      <vt:lpstr>表記フォーマット</vt:lpstr>
      <vt:lpstr>コード出力</vt:lpstr>
      <vt:lpstr>swrt_0</vt:lpstr>
      <vt:lpstr>swrt_1</vt:lpstr>
      <vt:lpstr>swrt_2</vt:lpstr>
      <vt:lpstr>swrt_3</vt:lpstr>
      <vt:lpstr>表記フォーマットのセル範囲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Imada, Keigo</dc:creator>
  <cp:lastModifiedBy>Imada, Keigo</cp:lastModifiedBy>
  <dcterms:created xsi:type="dcterms:W3CDTF">2026-03-03T04:01:32Z</dcterms:created>
  <dcterms:modified xsi:type="dcterms:W3CDTF">2026-03-12T02:49:51Z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2026-03-03T07:00:17Z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34004542-b2ef-46c8-9042-caf27f97f8e1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